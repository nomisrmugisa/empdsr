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lexxxyc/Dropbox (Personal)/pERSONAL/00000 UNICEF 2019/Consultancy/Deliverables/2020/Virtual training PDSR - Namibia/"/>
    </mc:Choice>
  </mc:AlternateContent>
  <xr:revisionPtr revIDLastSave="0" documentId="13_ncr:8001_{4559046C-2C08-2247-B283-629229386DB6}" xr6:coauthVersionLast="45" xr6:coauthVersionMax="45" xr10:uidLastSave="{00000000-0000-0000-0000-000000000000}"/>
  <bookViews>
    <workbookView xWindow="0" yWindow="460" windowWidth="28780" windowHeight="16900" xr2:uid="{00000000-000D-0000-FFFF-FFFF00000000}"/>
  </bookViews>
  <sheets>
    <sheet name="Welcome" sheetId="22" r:id="rId1"/>
    <sheet name="Navigation" sheetId="16" r:id="rId2"/>
    <sheet name="Recommendations" sheetId="23" r:id="rId3"/>
    <sheet name="Annual log" sheetId="2" state="hidden" r:id="rId4"/>
    <sheet name="Indicators" sheetId="15" r:id="rId5"/>
    <sheet name="Perinatal Deaths" sheetId="20" r:id="rId6"/>
    <sheet name="Neonatal deaths" sheetId="18" r:id="rId7"/>
    <sheet name="Stillbirths" sheetId="19" r:id="rId8"/>
    <sheet name="Preterm&amp;LBW" sheetId="1" r:id="rId9"/>
    <sheet name="Delivery Stats" sheetId="21" r:id="rId10"/>
    <sheet name="Maternal Deaths" sheetId="17" r:id="rId11"/>
    <sheet name="Jan20" sheetId="24" r:id="rId12"/>
    <sheet name="Feb20" sheetId="25" r:id="rId13"/>
    <sheet name="Mar20" sheetId="26" r:id="rId14"/>
    <sheet name="Apr20" sheetId="27" r:id="rId15"/>
    <sheet name="May20" sheetId="28" r:id="rId16"/>
    <sheet name="Jun20" sheetId="29" r:id="rId17"/>
    <sheet name="Jul20" sheetId="30" r:id="rId18"/>
    <sheet name="Aug20" sheetId="31" r:id="rId19"/>
    <sheet name="Sep20" sheetId="32" r:id="rId20"/>
    <sheet name="Oct20" sheetId="33" r:id="rId21"/>
    <sheet name="Nov20" sheetId="34" r:id="rId22"/>
    <sheet name="Dec20" sheetId="35" r:id="rId23"/>
    <sheet name="Jan" sheetId="3" r:id="rId24"/>
    <sheet name="Feb" sheetId="4" r:id="rId25"/>
    <sheet name="Mar" sheetId="5" r:id="rId26"/>
    <sheet name="Apr" sheetId="6" r:id="rId27"/>
    <sheet name="May" sheetId="7" r:id="rId28"/>
    <sheet name="Jun" sheetId="8" r:id="rId29"/>
    <sheet name="Jul" sheetId="9" r:id="rId30"/>
    <sheet name="Aug" sheetId="10" r:id="rId31"/>
    <sheet name="Sep" sheetId="11" r:id="rId32"/>
    <sheet name="Oct" sheetId="12" r:id="rId33"/>
    <sheet name="Nov" sheetId="13" r:id="rId34"/>
    <sheet name="Dec" sheetId="14" r:id="rId35"/>
  </sheets>
  <definedNames>
    <definedName name="Home">'Neonatal deaths'!$A$1</definedName>
    <definedName name="Navigation_A1">'Perinatal Deaths'!$A$1</definedName>
    <definedName name="START">Welcome!$S$13</definedName>
  </definedNames>
  <calcPr calcId="191029"/>
  <fileRecoveryPr autoRecover="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6" i="23" l="1"/>
  <c r="E15" i="23"/>
  <c r="E14" i="23"/>
  <c r="E13" i="23"/>
  <c r="E12" i="23"/>
  <c r="E11" i="23"/>
  <c r="E10" i="23"/>
  <c r="E9" i="23"/>
  <c r="E8" i="23"/>
  <c r="E7" i="23"/>
  <c r="E6" i="23"/>
  <c r="E5" i="23"/>
  <c r="E4" i="23"/>
  <c r="B4" i="23"/>
  <c r="E3" i="23"/>
  <c r="P8" i="2" l="1"/>
  <c r="Q8" i="2"/>
  <c r="R8" i="2"/>
  <c r="S8" i="2"/>
  <c r="T8" i="2"/>
  <c r="U8" i="2"/>
  <c r="V8" i="2"/>
  <c r="W8" i="2"/>
  <c r="X8" i="2"/>
  <c r="Y8" i="2"/>
  <c r="Z8" i="2"/>
  <c r="AA8" i="2"/>
  <c r="P9" i="2"/>
  <c r="Q9" i="2"/>
  <c r="R9" i="2"/>
  <c r="S9" i="2"/>
  <c r="T9" i="2"/>
  <c r="U9" i="2"/>
  <c r="V9" i="2"/>
  <c r="W9" i="2"/>
  <c r="X9" i="2"/>
  <c r="Y9" i="15" s="1"/>
  <c r="Y9" i="2"/>
  <c r="Z9" i="2"/>
  <c r="AA9" i="2"/>
  <c r="P10" i="2"/>
  <c r="Q10" i="2"/>
  <c r="R10" i="2"/>
  <c r="S10" i="2"/>
  <c r="T10" i="2"/>
  <c r="U10" i="2"/>
  <c r="V10" i="2"/>
  <c r="W10" i="2"/>
  <c r="X10" i="2"/>
  <c r="Y10" i="2"/>
  <c r="Z10" i="2"/>
  <c r="AA10" i="2"/>
  <c r="P11" i="2"/>
  <c r="Q11" i="2"/>
  <c r="R11" i="2"/>
  <c r="S11" i="2"/>
  <c r="T11" i="2"/>
  <c r="U11" i="2"/>
  <c r="V11" i="2"/>
  <c r="W11" i="2"/>
  <c r="X11" i="2"/>
  <c r="Y11" i="2"/>
  <c r="Z11" i="2"/>
  <c r="AA11" i="2"/>
  <c r="P12" i="2"/>
  <c r="Q12" i="2"/>
  <c r="R12" i="2"/>
  <c r="S12" i="2"/>
  <c r="T12" i="2"/>
  <c r="U12" i="2"/>
  <c r="V12" i="2"/>
  <c r="W12" i="2"/>
  <c r="X12" i="2"/>
  <c r="Y12" i="2"/>
  <c r="Z12" i="2"/>
  <c r="AA12" i="2"/>
  <c r="P13" i="2"/>
  <c r="Q13" i="2"/>
  <c r="R13" i="2"/>
  <c r="S13" i="2"/>
  <c r="T13" i="2"/>
  <c r="U13" i="2"/>
  <c r="V13" i="2"/>
  <c r="W13" i="2"/>
  <c r="X13" i="2"/>
  <c r="Y13" i="2"/>
  <c r="Z13" i="2"/>
  <c r="AA13" i="2"/>
  <c r="P14" i="2"/>
  <c r="Q14" i="2"/>
  <c r="R14" i="2"/>
  <c r="S2" i="15" s="1"/>
  <c r="S14" i="2"/>
  <c r="T2" i="15" s="1"/>
  <c r="T14" i="2"/>
  <c r="U2" i="15" s="1"/>
  <c r="U14" i="2"/>
  <c r="V2" i="15" s="1"/>
  <c r="V14" i="2"/>
  <c r="W2" i="15" s="1"/>
  <c r="W14" i="2"/>
  <c r="X14" i="2"/>
  <c r="Y14" i="2"/>
  <c r="Z2" i="15" s="1"/>
  <c r="Z14" i="2"/>
  <c r="AA14" i="2"/>
  <c r="AB2" i="15" s="1"/>
  <c r="P15" i="2"/>
  <c r="Q15" i="2"/>
  <c r="R15" i="2"/>
  <c r="S15" i="2"/>
  <c r="T15" i="2"/>
  <c r="U15" i="2"/>
  <c r="V15" i="2"/>
  <c r="W15" i="2"/>
  <c r="X15" i="2"/>
  <c r="Y15" i="2"/>
  <c r="Z15" i="2"/>
  <c r="AA15" i="2"/>
  <c r="P16" i="2"/>
  <c r="Q3" i="15" s="1"/>
  <c r="Q16" i="2"/>
  <c r="R16" i="2"/>
  <c r="S3" i="15" s="1"/>
  <c r="S16" i="2"/>
  <c r="T3" i="15" s="1"/>
  <c r="T16" i="2"/>
  <c r="U3" i="15" s="1"/>
  <c r="U16" i="2"/>
  <c r="V3" i="15" s="1"/>
  <c r="V16" i="2"/>
  <c r="W3" i="15" s="1"/>
  <c r="W16" i="2"/>
  <c r="X3" i="15" s="1"/>
  <c r="X16" i="2"/>
  <c r="Y3" i="15" s="1"/>
  <c r="Y16" i="2"/>
  <c r="Z3" i="15" s="1"/>
  <c r="Z16" i="2"/>
  <c r="AA16" i="2"/>
  <c r="AB3" i="15" s="1"/>
  <c r="P17" i="2"/>
  <c r="Q17" i="2"/>
  <c r="R17" i="2"/>
  <c r="S17" i="2"/>
  <c r="T17" i="2"/>
  <c r="U17" i="2"/>
  <c r="V17" i="2"/>
  <c r="W17" i="2"/>
  <c r="X17" i="2"/>
  <c r="Y17" i="2"/>
  <c r="Z17" i="2"/>
  <c r="AA17" i="2"/>
  <c r="P18" i="2"/>
  <c r="Q18" i="2"/>
  <c r="R18" i="2"/>
  <c r="S18" i="2"/>
  <c r="T18" i="2"/>
  <c r="U18" i="2"/>
  <c r="V18" i="2"/>
  <c r="W18" i="2"/>
  <c r="X18" i="2"/>
  <c r="Y18" i="2"/>
  <c r="Z18" i="2"/>
  <c r="AA18" i="2"/>
  <c r="P19" i="2"/>
  <c r="Q11" i="15" s="1"/>
  <c r="Q19" i="2"/>
  <c r="R19" i="2"/>
  <c r="S11" i="15" s="1"/>
  <c r="S19" i="2"/>
  <c r="T11" i="15" s="1"/>
  <c r="T19" i="2"/>
  <c r="U11" i="15" s="1"/>
  <c r="U19" i="2"/>
  <c r="V11" i="15" s="1"/>
  <c r="V19" i="2"/>
  <c r="W11" i="15" s="1"/>
  <c r="W19" i="2"/>
  <c r="X11" i="15" s="1"/>
  <c r="X19" i="2"/>
  <c r="Y11" i="15" s="1"/>
  <c r="Y19" i="2"/>
  <c r="Z11" i="15" s="1"/>
  <c r="Z19" i="2"/>
  <c r="AA19" i="2"/>
  <c r="AB11" i="15" s="1"/>
  <c r="P20" i="2"/>
  <c r="Q20" i="2"/>
  <c r="R20" i="2"/>
  <c r="S20" i="2"/>
  <c r="T20" i="2"/>
  <c r="U20" i="2"/>
  <c r="V20" i="2"/>
  <c r="W20" i="2"/>
  <c r="X20" i="2"/>
  <c r="Y20" i="2"/>
  <c r="Z20" i="2"/>
  <c r="AA20" i="2"/>
  <c r="P21" i="2"/>
  <c r="Q21" i="2"/>
  <c r="R21" i="2"/>
  <c r="S21" i="2"/>
  <c r="T21" i="2"/>
  <c r="U21" i="2"/>
  <c r="V21" i="2"/>
  <c r="W21" i="2"/>
  <c r="X21" i="2"/>
  <c r="Y21" i="2"/>
  <c r="Z21" i="2"/>
  <c r="AA21" i="2"/>
  <c r="P22" i="2"/>
  <c r="Q22" i="2"/>
  <c r="R22" i="2"/>
  <c r="S10" i="15" s="1"/>
  <c r="S22" i="2"/>
  <c r="T10" i="15" s="1"/>
  <c r="T22" i="2"/>
  <c r="U10" i="15" s="1"/>
  <c r="U22" i="2"/>
  <c r="V10" i="15" s="1"/>
  <c r="V22" i="2"/>
  <c r="W10" i="15" s="1"/>
  <c r="W22" i="2"/>
  <c r="X22" i="2"/>
  <c r="Y22" i="2"/>
  <c r="Z10" i="15" s="1"/>
  <c r="Z22" i="2"/>
  <c r="AA10" i="15" s="1"/>
  <c r="AA22" i="2"/>
  <c r="AB10" i="15" s="1"/>
  <c r="P23" i="2"/>
  <c r="Q23" i="2"/>
  <c r="R23" i="2"/>
  <c r="S23" i="2"/>
  <c r="T23" i="2"/>
  <c r="U23" i="2"/>
  <c r="V23" i="2"/>
  <c r="W23" i="2"/>
  <c r="X23" i="2"/>
  <c r="Y23" i="2"/>
  <c r="Z23" i="2"/>
  <c r="AA23" i="2"/>
  <c r="P24" i="2"/>
  <c r="Q24" i="2"/>
  <c r="R24" i="2"/>
  <c r="S24" i="2"/>
  <c r="T24" i="2"/>
  <c r="U24" i="2"/>
  <c r="V24" i="2"/>
  <c r="W24" i="2"/>
  <c r="X24" i="2"/>
  <c r="Y24" i="2"/>
  <c r="Z24" i="2"/>
  <c r="AA24" i="2"/>
  <c r="P25" i="2"/>
  <c r="Q6" i="15" s="1"/>
  <c r="Q25" i="2"/>
  <c r="R25" i="2"/>
  <c r="S6" i="15" s="1"/>
  <c r="S25" i="2"/>
  <c r="T6" i="15" s="1"/>
  <c r="T25" i="2"/>
  <c r="U6" i="15" s="1"/>
  <c r="U25" i="2"/>
  <c r="V6" i="15" s="1"/>
  <c r="V25" i="2"/>
  <c r="W6" i="15" s="1"/>
  <c r="W25" i="2"/>
  <c r="X6" i="15" s="1"/>
  <c r="X25" i="2"/>
  <c r="Y6" i="15" s="1"/>
  <c r="Y25" i="2"/>
  <c r="Z6" i="15" s="1"/>
  <c r="Z25" i="2"/>
  <c r="AA6" i="15" s="1"/>
  <c r="AA25" i="2"/>
  <c r="AB6" i="15" s="1"/>
  <c r="P26" i="2"/>
  <c r="Q26" i="2"/>
  <c r="R26" i="2"/>
  <c r="S4" i="15" s="1"/>
  <c r="S26" i="2"/>
  <c r="T4" i="15" s="1"/>
  <c r="T26" i="2"/>
  <c r="U26" i="2"/>
  <c r="V26" i="2"/>
  <c r="W4" i="15" s="1"/>
  <c r="W26" i="2"/>
  <c r="X26" i="2"/>
  <c r="Y26" i="2"/>
  <c r="Z12" i="15" s="1"/>
  <c r="Z26" i="2"/>
  <c r="AA4" i="15" s="1"/>
  <c r="AA26" i="2"/>
  <c r="AB4" i="15" s="1"/>
  <c r="P27" i="2"/>
  <c r="Q27" i="2"/>
  <c r="R27" i="2"/>
  <c r="S27" i="2"/>
  <c r="T27" i="2"/>
  <c r="U27" i="2"/>
  <c r="V27" i="2"/>
  <c r="W27" i="2"/>
  <c r="X27" i="2"/>
  <c r="Y27" i="2"/>
  <c r="Z27" i="2"/>
  <c r="AA27" i="2"/>
  <c r="P28" i="2"/>
  <c r="Q28" i="2"/>
  <c r="R15" i="15" s="1"/>
  <c r="R28" i="2"/>
  <c r="S15" i="15" s="1"/>
  <c r="S28" i="2"/>
  <c r="T7" i="15" s="1"/>
  <c r="T28" i="2"/>
  <c r="U7" i="15" s="1"/>
  <c r="U28" i="2"/>
  <c r="V7" i="15" s="1"/>
  <c r="V28" i="2"/>
  <c r="W15" i="15" s="1"/>
  <c r="W28" i="2"/>
  <c r="X28" i="2"/>
  <c r="Y28" i="2"/>
  <c r="Z7" i="15" s="1"/>
  <c r="Z28" i="2"/>
  <c r="AA28" i="2"/>
  <c r="AB7" i="15" s="1"/>
  <c r="AA7" i="2"/>
  <c r="Z7" i="2"/>
  <c r="Y7" i="2"/>
  <c r="X7" i="2"/>
  <c r="W7" i="2"/>
  <c r="V7" i="2"/>
  <c r="U7" i="2"/>
  <c r="V8" i="15" s="1"/>
  <c r="T7" i="2"/>
  <c r="S7" i="2"/>
  <c r="T9" i="15" s="1"/>
  <c r="R7" i="2"/>
  <c r="Q7" i="2"/>
  <c r="P7" i="2"/>
  <c r="W9" i="15" l="1"/>
  <c r="Z8" i="15"/>
  <c r="Y7" i="15"/>
  <c r="Q7" i="15"/>
  <c r="Y12" i="15"/>
  <c r="Q12" i="15"/>
  <c r="Y10" i="15"/>
  <c r="Q10" i="15"/>
  <c r="Y2" i="15"/>
  <c r="Q2" i="15"/>
  <c r="Y8" i="15"/>
  <c r="X7" i="15"/>
  <c r="X4" i="15"/>
  <c r="X10" i="15"/>
  <c r="X2" i="15"/>
  <c r="AB15" i="15"/>
  <c r="AB23" i="2"/>
  <c r="W8" i="15"/>
  <c r="AB5" i="15"/>
  <c r="V12" i="15"/>
  <c r="U12" i="15"/>
  <c r="U8" i="15"/>
  <c r="AB8" i="15"/>
  <c r="X8" i="15"/>
  <c r="T8" i="15"/>
  <c r="AB9" i="15"/>
  <c r="X9" i="15"/>
  <c r="W7" i="15"/>
  <c r="U4" i="15"/>
  <c r="Z9" i="15"/>
  <c r="V9" i="15"/>
  <c r="Y4" i="15"/>
  <c r="AB12" i="15"/>
  <c r="S7" i="15"/>
  <c r="S8" i="15"/>
  <c r="S9" i="15"/>
  <c r="AB27" i="2"/>
  <c r="Q8" i="15"/>
  <c r="Q9" i="15"/>
  <c r="W5" i="15"/>
  <c r="T15" i="15"/>
  <c r="X15" i="15"/>
  <c r="Q4" i="15"/>
  <c r="V4" i="15"/>
  <c r="Z4" i="15"/>
  <c r="T5" i="15"/>
  <c r="X5" i="15"/>
  <c r="T12" i="15"/>
  <c r="X12" i="15"/>
  <c r="AA8" i="15"/>
  <c r="S12" i="15"/>
  <c r="AA7" i="15"/>
  <c r="AB24" i="2"/>
  <c r="Q15" i="15"/>
  <c r="V15" i="15"/>
  <c r="Z15" i="15"/>
  <c r="Q5" i="15"/>
  <c r="V5" i="15"/>
  <c r="Z5" i="15"/>
  <c r="AA9" i="15"/>
  <c r="S5" i="15"/>
  <c r="W12" i="15"/>
  <c r="U15" i="15"/>
  <c r="Y15" i="15"/>
  <c r="U5" i="15"/>
  <c r="Y5" i="15"/>
  <c r="R12" i="15"/>
  <c r="AB28" i="2"/>
  <c r="P15" i="15" s="1"/>
  <c r="U19" i="16" s="1"/>
  <c r="R11" i="15"/>
  <c r="AB19" i="2"/>
  <c r="R6" i="15"/>
  <c r="R10" i="15"/>
  <c r="R4" i="15"/>
  <c r="R7" i="15"/>
  <c r="R3" i="15"/>
  <c r="AB15" i="2"/>
  <c r="R5" i="15"/>
  <c r="R2" i="15"/>
  <c r="AB11" i="2"/>
  <c r="U9" i="16" s="1"/>
  <c r="R8" i="15"/>
  <c r="AB8" i="2"/>
  <c r="R9" i="15"/>
  <c r="U9" i="15"/>
  <c r="AA5" i="15"/>
  <c r="AA11" i="15"/>
  <c r="AB18" i="2"/>
  <c r="AA12" i="15"/>
  <c r="AB20" i="2"/>
  <c r="AA15" i="15"/>
  <c r="AB21" i="2"/>
  <c r="AB22" i="2"/>
  <c r="AA2" i="15"/>
  <c r="AA3" i="15"/>
  <c r="AB26" i="2"/>
  <c r="AB25" i="2"/>
  <c r="AB17" i="2"/>
  <c r="U11" i="16" s="1"/>
  <c r="AB16" i="2"/>
  <c r="AB14" i="2"/>
  <c r="U17" i="16" s="1"/>
  <c r="AB13" i="2"/>
  <c r="AB12" i="2"/>
  <c r="AB10" i="2"/>
  <c r="AB9" i="2"/>
  <c r="AB7" i="2"/>
  <c r="Q26" i="16"/>
  <c r="P10" i="15" l="1"/>
  <c r="P9" i="15"/>
  <c r="P20" i="15" s="1"/>
  <c r="U13" i="16"/>
  <c r="P4" i="15"/>
  <c r="P12" i="15"/>
  <c r="P7" i="15"/>
  <c r="W19" i="16" s="1"/>
  <c r="U15" i="16"/>
  <c r="P6" i="15"/>
  <c r="W15" i="16" s="1"/>
  <c r="P8" i="15"/>
  <c r="P21" i="15" s="1"/>
  <c r="P11" i="15"/>
  <c r="P2" i="15"/>
  <c r="W17" i="16" s="1"/>
  <c r="P5" i="15"/>
  <c r="W13" i="16" s="1"/>
  <c r="P3" i="15"/>
  <c r="C8" i="2"/>
  <c r="D8" i="2"/>
  <c r="E8" i="2"/>
  <c r="F8" i="2"/>
  <c r="G8" i="2"/>
  <c r="H8" i="2"/>
  <c r="I8" i="2"/>
  <c r="J8" i="2"/>
  <c r="K8" i="2"/>
  <c r="L8" i="2"/>
  <c r="M8" i="2"/>
  <c r="N8" i="2"/>
  <c r="C9" i="2"/>
  <c r="D9" i="2"/>
  <c r="E9" i="2"/>
  <c r="F9" i="2"/>
  <c r="G9" i="2"/>
  <c r="H9" i="2"/>
  <c r="I9" i="2"/>
  <c r="J9" i="2"/>
  <c r="K9" i="2"/>
  <c r="L9" i="2"/>
  <c r="M9" i="2"/>
  <c r="N9" i="2"/>
  <c r="C10" i="2"/>
  <c r="D10" i="2"/>
  <c r="E10" i="2"/>
  <c r="F10" i="2"/>
  <c r="G10" i="2"/>
  <c r="H10" i="2"/>
  <c r="I10" i="2"/>
  <c r="J10" i="2"/>
  <c r="K10" i="2"/>
  <c r="L10" i="2"/>
  <c r="M10" i="2"/>
  <c r="N10" i="2"/>
  <c r="M7" i="2"/>
  <c r="L7" i="2"/>
  <c r="K7" i="2"/>
  <c r="J7" i="2"/>
  <c r="I7" i="2"/>
  <c r="H7" i="2"/>
  <c r="G7" i="2"/>
  <c r="F7" i="2"/>
  <c r="E7" i="2"/>
  <c r="P22" i="15" l="1"/>
  <c r="P19" i="15" s="1"/>
  <c r="O8" i="2"/>
  <c r="AC8" i="2" s="1"/>
  <c r="O10" i="2"/>
  <c r="AC10" i="2" s="1"/>
  <c r="O9" i="2"/>
  <c r="AC9" i="2" s="1"/>
  <c r="C26" i="2"/>
  <c r="D26" i="2"/>
  <c r="E26" i="2"/>
  <c r="F26" i="2"/>
  <c r="G26" i="2"/>
  <c r="H26" i="2"/>
  <c r="I26" i="2"/>
  <c r="J26" i="2"/>
  <c r="K26" i="2"/>
  <c r="L26" i="2"/>
  <c r="M26" i="2"/>
  <c r="N26" i="2"/>
  <c r="C27" i="2"/>
  <c r="D27" i="2"/>
  <c r="E27" i="2"/>
  <c r="F27" i="2"/>
  <c r="G27" i="2"/>
  <c r="H27" i="2"/>
  <c r="I27" i="2"/>
  <c r="J27" i="2"/>
  <c r="K27" i="2"/>
  <c r="L27" i="2"/>
  <c r="M27" i="2"/>
  <c r="N27" i="2"/>
  <c r="N25" i="2"/>
  <c r="M25" i="2"/>
  <c r="L25" i="2"/>
  <c r="K25" i="2"/>
  <c r="J25" i="2"/>
  <c r="I25" i="2"/>
  <c r="H25" i="2"/>
  <c r="G25" i="2"/>
  <c r="F25" i="2"/>
  <c r="E25" i="2"/>
  <c r="D25" i="2"/>
  <c r="O26" i="2" l="1"/>
  <c r="AC26" i="2" s="1"/>
  <c r="O27" i="2"/>
  <c r="AC27" i="2" s="1"/>
  <c r="E17" i="23"/>
  <c r="E18" i="23"/>
  <c r="E19" i="23"/>
  <c r="E20" i="23"/>
  <c r="E21" i="23"/>
  <c r="E22"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B22"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E2" i="23"/>
  <c r="Q24" i="16"/>
  <c r="R26" i="16" l="1"/>
  <c r="N28" i="2"/>
  <c r="M28" i="2"/>
  <c r="L28" i="2"/>
  <c r="K28" i="2"/>
  <c r="J28" i="2"/>
  <c r="I28" i="2"/>
  <c r="H28" i="2"/>
  <c r="G28" i="2"/>
  <c r="F28" i="2"/>
  <c r="D28" i="2"/>
  <c r="C28" i="2"/>
  <c r="E28" i="2"/>
  <c r="D11" i="2"/>
  <c r="D12" i="2"/>
  <c r="D13" i="2"/>
  <c r="D14" i="2"/>
  <c r="D15" i="2"/>
  <c r="D16" i="2"/>
  <c r="D17" i="2"/>
  <c r="D18" i="2"/>
  <c r="D19" i="2"/>
  <c r="D20" i="2"/>
  <c r="D21" i="2"/>
  <c r="D22" i="2"/>
  <c r="D23" i="2"/>
  <c r="D24" i="2"/>
  <c r="C21" i="2"/>
  <c r="E21" i="2"/>
  <c r="F21" i="2"/>
  <c r="G21" i="2"/>
  <c r="H21" i="2"/>
  <c r="I21" i="2"/>
  <c r="J21" i="2"/>
  <c r="K21" i="2"/>
  <c r="L21" i="2"/>
  <c r="M21" i="2"/>
  <c r="N21" i="2"/>
  <c r="C22" i="2"/>
  <c r="E22" i="2"/>
  <c r="F22" i="2"/>
  <c r="G22" i="2"/>
  <c r="H22" i="2"/>
  <c r="I22" i="2"/>
  <c r="J22" i="2"/>
  <c r="K22" i="2"/>
  <c r="L22" i="2"/>
  <c r="M22" i="2"/>
  <c r="N22" i="2"/>
  <c r="C23" i="2"/>
  <c r="E23" i="2"/>
  <c r="F23" i="2"/>
  <c r="G23" i="2"/>
  <c r="H23" i="2"/>
  <c r="I23" i="2"/>
  <c r="J23" i="2"/>
  <c r="K23" i="2"/>
  <c r="L23" i="2"/>
  <c r="M23" i="2"/>
  <c r="N23" i="2"/>
  <c r="C24" i="2"/>
  <c r="E24" i="2"/>
  <c r="F24" i="2"/>
  <c r="G24" i="2"/>
  <c r="H24" i="2"/>
  <c r="I24" i="2"/>
  <c r="J24" i="2"/>
  <c r="K24" i="2"/>
  <c r="L24" i="2"/>
  <c r="N24" i="2"/>
  <c r="O22" i="2" l="1"/>
  <c r="AC22" i="2" s="1"/>
  <c r="O21" i="2"/>
  <c r="AC21" i="2" s="1"/>
  <c r="O24" i="2"/>
  <c r="AC24" i="2" s="1"/>
  <c r="O23" i="2"/>
  <c r="AC23" i="2" s="1"/>
  <c r="O28" i="2"/>
  <c r="AC28" i="2" s="1"/>
  <c r="C20" i="2"/>
  <c r="E20" i="2"/>
  <c r="F20" i="2"/>
  <c r="G20" i="2"/>
  <c r="H20" i="2"/>
  <c r="I20" i="2"/>
  <c r="J20" i="2"/>
  <c r="K20" i="2"/>
  <c r="L20" i="2"/>
  <c r="M20" i="2"/>
  <c r="N20" i="2"/>
  <c r="C16" i="2"/>
  <c r="E16" i="2"/>
  <c r="F16" i="2"/>
  <c r="G16" i="2"/>
  <c r="H16" i="2"/>
  <c r="I16" i="2"/>
  <c r="J16" i="2"/>
  <c r="K16" i="2"/>
  <c r="L16" i="2"/>
  <c r="M16" i="2"/>
  <c r="N16" i="2"/>
  <c r="C14" i="2"/>
  <c r="E14" i="2"/>
  <c r="F14" i="2"/>
  <c r="G14" i="2"/>
  <c r="H14" i="2"/>
  <c r="I14" i="2"/>
  <c r="J14" i="2"/>
  <c r="K14" i="2"/>
  <c r="L14" i="2"/>
  <c r="M14" i="2"/>
  <c r="N14" i="2"/>
  <c r="C11" i="2"/>
  <c r="E5" i="15"/>
  <c r="E11" i="2"/>
  <c r="F11" i="2"/>
  <c r="G11" i="2"/>
  <c r="H11" i="2"/>
  <c r="I11" i="2"/>
  <c r="J11" i="2"/>
  <c r="K11" i="2"/>
  <c r="L11" i="2"/>
  <c r="M11" i="2"/>
  <c r="N11" i="2"/>
  <c r="C7" i="2"/>
  <c r="D7" i="2"/>
  <c r="E2" i="15"/>
  <c r="N12" i="2"/>
  <c r="N13" i="2"/>
  <c r="N15" i="2"/>
  <c r="N17" i="2"/>
  <c r="O6" i="15" s="1"/>
  <c r="N18" i="2"/>
  <c r="N19" i="2"/>
  <c r="O15" i="15"/>
  <c r="N7" i="2"/>
  <c r="M12" i="2"/>
  <c r="M13" i="2"/>
  <c r="M15" i="2"/>
  <c r="M17" i="2"/>
  <c r="N6" i="15" s="1"/>
  <c r="M18" i="2"/>
  <c r="M19" i="2"/>
  <c r="N15" i="15"/>
  <c r="L12" i="2"/>
  <c r="L13" i="2"/>
  <c r="L15" i="2"/>
  <c r="L17" i="2"/>
  <c r="M6" i="15" s="1"/>
  <c r="L18" i="2"/>
  <c r="L19" i="2"/>
  <c r="M15" i="15"/>
  <c r="K12" i="2"/>
  <c r="K13" i="2"/>
  <c r="K15" i="2"/>
  <c r="K17" i="2"/>
  <c r="L4" i="15" s="1"/>
  <c r="K18" i="2"/>
  <c r="K19" i="2"/>
  <c r="L15" i="15"/>
  <c r="J12" i="2"/>
  <c r="J13" i="2"/>
  <c r="J15" i="2"/>
  <c r="J17" i="2"/>
  <c r="K6" i="15" s="1"/>
  <c r="J18" i="2"/>
  <c r="J19" i="2"/>
  <c r="K15" i="15"/>
  <c r="I12" i="2"/>
  <c r="I13" i="2"/>
  <c r="I15" i="2"/>
  <c r="I17" i="2"/>
  <c r="J6" i="15" s="1"/>
  <c r="I18" i="2"/>
  <c r="I19" i="2"/>
  <c r="J15" i="15"/>
  <c r="H12" i="2"/>
  <c r="H13" i="2"/>
  <c r="H15" i="2"/>
  <c r="H17" i="2"/>
  <c r="H18" i="2"/>
  <c r="H19" i="2"/>
  <c r="I15" i="15"/>
  <c r="G12" i="2"/>
  <c r="G13" i="2"/>
  <c r="G15" i="2"/>
  <c r="G17" i="2"/>
  <c r="H4" i="15" s="1"/>
  <c r="G18" i="2"/>
  <c r="G19" i="2"/>
  <c r="H12" i="15"/>
  <c r="H15" i="15"/>
  <c r="F12" i="2"/>
  <c r="F13" i="2"/>
  <c r="F15" i="2"/>
  <c r="F17" i="2"/>
  <c r="F18" i="2"/>
  <c r="F19" i="2"/>
  <c r="G15" i="15"/>
  <c r="E12" i="2"/>
  <c r="E13" i="2"/>
  <c r="E15" i="2"/>
  <c r="E17" i="2"/>
  <c r="F6" i="15" s="1"/>
  <c r="E18" i="2"/>
  <c r="E19" i="2"/>
  <c r="F15" i="15"/>
  <c r="E15" i="15"/>
  <c r="C12" i="2"/>
  <c r="C13" i="2"/>
  <c r="C15" i="2"/>
  <c r="C17" i="2"/>
  <c r="C18" i="2"/>
  <c r="C19" i="2"/>
  <c r="C25" i="2"/>
  <c r="D15" i="15"/>
  <c r="M3" i="15" l="1"/>
  <c r="C15" i="15"/>
  <c r="I5" i="15"/>
  <c r="L5" i="15"/>
  <c r="N3" i="15"/>
  <c r="L2" i="15"/>
  <c r="O3" i="15"/>
  <c r="L6" i="15"/>
  <c r="O25" i="2"/>
  <c r="AC25" i="2" s="1"/>
  <c r="D12" i="15"/>
  <c r="O16" i="2"/>
  <c r="AC16" i="2" s="1"/>
  <c r="O18" i="2"/>
  <c r="AC18" i="2" s="1"/>
  <c r="O12" i="2"/>
  <c r="AC12" i="2" s="1"/>
  <c r="G3" i="15"/>
  <c r="O20" i="2"/>
  <c r="AC20" i="2" s="1"/>
  <c r="O19" i="2"/>
  <c r="AC19" i="2" s="1"/>
  <c r="O13" i="2"/>
  <c r="AC13" i="2" s="1"/>
  <c r="O15" i="2"/>
  <c r="AC15" i="2" s="1"/>
  <c r="O17" i="2"/>
  <c r="AC17" i="2" s="1"/>
  <c r="H2" i="15"/>
  <c r="O14" i="2"/>
  <c r="AC14" i="2" s="1"/>
  <c r="H5" i="15"/>
  <c r="K3" i="15"/>
  <c r="D5" i="15"/>
  <c r="M12" i="15"/>
  <c r="I12" i="15"/>
  <c r="E12" i="15"/>
  <c r="M2" i="15"/>
  <c r="I2" i="15"/>
  <c r="I3" i="15"/>
  <c r="E3" i="15"/>
  <c r="M5" i="15"/>
  <c r="O12" i="15"/>
  <c r="K12" i="15"/>
  <c r="G4" i="15"/>
  <c r="N12" i="15"/>
  <c r="J12" i="15"/>
  <c r="F12" i="15"/>
  <c r="D2" i="15"/>
  <c r="D6" i="15"/>
  <c r="O11" i="2"/>
  <c r="AC11" i="2" s="1"/>
  <c r="P9" i="16" s="1"/>
  <c r="L12" i="15"/>
  <c r="G12" i="15"/>
  <c r="O5" i="15"/>
  <c r="N5" i="15"/>
  <c r="F5" i="15"/>
  <c r="J3" i="15"/>
  <c r="F8" i="15"/>
  <c r="J7" i="15"/>
  <c r="J11" i="15"/>
  <c r="K5" i="15"/>
  <c r="J5" i="15"/>
  <c r="J2" i="15"/>
  <c r="F10" i="15"/>
  <c r="K10" i="15"/>
  <c r="K2" i="15"/>
  <c r="G2" i="15"/>
  <c r="F3" i="15"/>
  <c r="F7" i="15"/>
  <c r="F11" i="15"/>
  <c r="G9" i="15"/>
  <c r="K7" i="15"/>
  <c r="K11" i="15"/>
  <c r="M10" i="15"/>
  <c r="N2" i="15"/>
  <c r="F2" i="15"/>
  <c r="O2" i="15"/>
  <c r="G5" i="15"/>
  <c r="M7" i="15"/>
  <c r="M11" i="15"/>
  <c r="N10" i="15"/>
  <c r="N8" i="15"/>
  <c r="L3" i="15"/>
  <c r="H3" i="15"/>
  <c r="D3" i="15"/>
  <c r="E8" i="15"/>
  <c r="E9" i="15"/>
  <c r="F9" i="15"/>
  <c r="G8" i="15"/>
  <c r="D9" i="15"/>
  <c r="D8" i="15"/>
  <c r="O10" i="15"/>
  <c r="O7" i="15"/>
  <c r="O11" i="15"/>
  <c r="N7" i="15"/>
  <c r="N11" i="15"/>
  <c r="L7" i="15"/>
  <c r="L10" i="15"/>
  <c r="L11" i="15"/>
  <c r="J10" i="15"/>
  <c r="J8" i="15"/>
  <c r="O8" i="15"/>
  <c r="O9" i="15"/>
  <c r="N9" i="15"/>
  <c r="M9" i="15"/>
  <c r="M8" i="15"/>
  <c r="L8" i="15"/>
  <c r="L9" i="15"/>
  <c r="K9" i="15"/>
  <c r="K8" i="15"/>
  <c r="J9" i="15"/>
  <c r="I11" i="15"/>
  <c r="H10" i="15"/>
  <c r="H11" i="15"/>
  <c r="H6" i="15"/>
  <c r="H8" i="15"/>
  <c r="H9" i="15"/>
  <c r="H7" i="15"/>
  <c r="G10" i="15"/>
  <c r="G7" i="15"/>
  <c r="G11" i="15"/>
  <c r="G6" i="15"/>
  <c r="E6" i="15"/>
  <c r="E7" i="15"/>
  <c r="E4" i="15"/>
  <c r="E10" i="15"/>
  <c r="E11" i="15"/>
  <c r="D10" i="15"/>
  <c r="D7" i="15"/>
  <c r="D11" i="15"/>
  <c r="I9" i="15"/>
  <c r="I6" i="15"/>
  <c r="I7" i="15"/>
  <c r="I10" i="15"/>
  <c r="I8" i="15"/>
  <c r="O4" i="15"/>
  <c r="N4" i="15"/>
  <c r="M4" i="15"/>
  <c r="K4" i="15"/>
  <c r="J4" i="15"/>
  <c r="O7" i="2"/>
  <c r="AC7" i="2" s="1"/>
  <c r="I4" i="15"/>
  <c r="F4" i="15"/>
  <c r="P19" i="16"/>
  <c r="D4" i="15"/>
  <c r="C11" i="15" l="1"/>
  <c r="P11" i="16"/>
  <c r="C4" i="15"/>
  <c r="C3" i="15"/>
  <c r="C10" i="15"/>
  <c r="C8" i="15"/>
  <c r="C21" i="15" s="1"/>
  <c r="C9" i="15"/>
  <c r="C20" i="15" s="1"/>
  <c r="P17" i="16"/>
  <c r="C2" i="15"/>
  <c r="R17" i="16" s="1"/>
  <c r="P13" i="16"/>
  <c r="C5" i="15"/>
  <c r="R13" i="16" s="1"/>
  <c r="P15" i="16"/>
  <c r="C6" i="15"/>
  <c r="R15" i="16" s="1"/>
  <c r="C12" i="15"/>
  <c r="C7" i="15"/>
  <c r="R19" i="16" s="1"/>
  <c r="C22" i="15" l="1"/>
  <c r="C19" i="15" s="1"/>
</calcChain>
</file>

<file path=xl/sharedStrings.xml><?xml version="1.0" encoding="utf-8"?>
<sst xmlns="http://schemas.openxmlformats.org/spreadsheetml/2006/main" count="929" uniqueCount="165">
  <si>
    <t>Name of facility:</t>
  </si>
  <si>
    <t>District</t>
  </si>
  <si>
    <t>Province/Region</t>
  </si>
  <si>
    <t>Country</t>
  </si>
  <si>
    <t>Town</t>
  </si>
  <si>
    <t>Jan</t>
  </si>
  <si>
    <t>Feb</t>
  </si>
  <si>
    <t>Mar</t>
  </si>
  <si>
    <t>Apr</t>
  </si>
  <si>
    <t>May</t>
  </si>
  <si>
    <t>Jun</t>
  </si>
  <si>
    <t>Jul</t>
  </si>
  <si>
    <t>Aug</t>
  </si>
  <si>
    <t>Sep</t>
  </si>
  <si>
    <t>Oct</t>
  </si>
  <si>
    <t>Nov</t>
  </si>
  <si>
    <t>Dec</t>
  </si>
  <si>
    <t>Month/Statistic</t>
  </si>
  <si>
    <t>Total Deliveries</t>
  </si>
  <si>
    <t>Singletons</t>
  </si>
  <si>
    <t>Twins</t>
  </si>
  <si>
    <t>Livebirths</t>
  </si>
  <si>
    <t>Stillbirths</t>
  </si>
  <si>
    <t>SVDs/NVDs</t>
  </si>
  <si>
    <t>Assisted</t>
  </si>
  <si>
    <t>Caesarean Sections</t>
  </si>
  <si>
    <t>Antepartum</t>
  </si>
  <si>
    <t>Intrapartum</t>
  </si>
  <si>
    <t>Early Neonatal Deaths (0-6 days)</t>
  </si>
  <si>
    <t>Late Neonatal Deaths (7-27 days)</t>
  </si>
  <si>
    <t>Maternal deaths</t>
  </si>
  <si>
    <t>Term births (≥37 completed weeks)</t>
  </si>
  <si>
    <t>Preterms (&lt;37 completed weeks)</t>
  </si>
  <si>
    <t>Neonatal deaths</t>
  </si>
  <si>
    <t>Week 1</t>
  </si>
  <si>
    <t>Week 2</t>
  </si>
  <si>
    <t>Week 3</t>
  </si>
  <si>
    <t>Week 4</t>
  </si>
  <si>
    <t>Week 5</t>
  </si>
  <si>
    <t>% Intrapartum Stillbirths</t>
  </si>
  <si>
    <t>Key Institutional Indicators</t>
  </si>
  <si>
    <t>Stillbirth rate (iSBR)</t>
  </si>
  <si>
    <t>Neonatal Mortality Rate (iNMR)</t>
  </si>
  <si>
    <t>Early Neonatal Mortality Rate (iENMR)</t>
  </si>
  <si>
    <t>Perinatal Mortality Rate (iPMR)</t>
  </si>
  <si>
    <t>Maternal Mortality Ratio (iMMR)</t>
  </si>
  <si>
    <t>Caesarean Section Rate (CSR)</t>
  </si>
  <si>
    <t>% of Assisted Deliveries</t>
  </si>
  <si>
    <t>Low Birthweight Rate (iLBWR)</t>
  </si>
  <si>
    <t>Preterm Birth Rate (iPTBR)</t>
  </si>
  <si>
    <t>Total Births</t>
  </si>
  <si>
    <t>Year=</t>
  </si>
  <si>
    <t>Week 5/monthly total</t>
  </si>
  <si>
    <t>Maternal Deaths</t>
  </si>
  <si>
    <t>Annual Total</t>
  </si>
  <si>
    <t>Key Institutional Indicators:</t>
  </si>
  <si>
    <t>% Neonatal Deaths in 1st week</t>
  </si>
  <si>
    <t>Home</t>
  </si>
  <si>
    <t>iPMR</t>
  </si>
  <si>
    <t>iNMR</t>
  </si>
  <si>
    <t>iSBR</t>
  </si>
  <si>
    <t>Number</t>
  </si>
  <si>
    <t>Rate</t>
  </si>
  <si>
    <t>Total births</t>
  </si>
  <si>
    <t>Multiple</t>
  </si>
  <si>
    <t>Very Preterms (&lt;34 completed weeks)</t>
  </si>
  <si>
    <t>Normal birthweight babies (≥ 2.5kg)</t>
  </si>
  <si>
    <t>Low birth weight babies (&lt;2.5kg)</t>
  </si>
  <si>
    <t>Ver low birthweight babies (&lt;1.5kg)</t>
  </si>
  <si>
    <r>
      <t>Extremely low birthweight babies (</t>
    </r>
    <r>
      <rPr>
        <b/>
        <sz val="16"/>
        <color rgb="FF941100"/>
        <rFont val="Calibri (Body)"/>
      </rPr>
      <t>&lt;1.0kg</t>
    </r>
    <r>
      <rPr>
        <b/>
        <sz val="16"/>
        <color theme="1"/>
        <rFont val="Calibri"/>
        <family val="2"/>
        <scheme val="minor"/>
      </rPr>
      <t>)</t>
    </r>
  </si>
  <si>
    <t>Early Neonatal Deaths (1-7 days)</t>
  </si>
  <si>
    <t>Late Neonatal Deaths (8-28 days)</t>
  </si>
  <si>
    <r>
      <t>Extremely low birthweight babies (</t>
    </r>
    <r>
      <rPr>
        <b/>
        <sz val="16"/>
        <color rgb="FF941100"/>
        <rFont val="Calibri (Body)"/>
      </rPr>
      <t>&lt;1.0kg</t>
    </r>
    <r>
      <rPr>
        <b/>
        <sz val="16"/>
        <color rgb="FF000000"/>
        <rFont val="Calibri"/>
        <family val="2"/>
        <scheme val="minor"/>
      </rPr>
      <t>)</t>
    </r>
  </si>
  <si>
    <t>Preterms (&lt;34 completed weeks)</t>
  </si>
  <si>
    <t>Normal birthweight babies (≥2.5kg)</t>
  </si>
  <si>
    <t>Very low birth weight babies (&lt;1.5kg)</t>
  </si>
  <si>
    <t>Extremely low birthweight babies (&lt;1.0kg)</t>
  </si>
  <si>
    <t>Recommendation</t>
  </si>
  <si>
    <t>Expected date of completion</t>
  </si>
  <si>
    <t>Comment</t>
  </si>
  <si>
    <t>Person responsible for implementing in facility</t>
  </si>
  <si>
    <t>Status of implementation</t>
  </si>
  <si>
    <t>Recommendations</t>
  </si>
  <si>
    <t>Date entered</t>
  </si>
  <si>
    <t>Date of status review</t>
  </si>
  <si>
    <t>Completed</t>
  </si>
  <si>
    <t>Recommendations completed</t>
  </si>
  <si>
    <t>Recommendations made</t>
  </si>
  <si>
    <t>Matron in charge of maternity</t>
  </si>
  <si>
    <r>
      <t>We recommend that the matron in-charge of the maternity unit should develop a standard operating procedure document for identifying infections in pregnancy to be used by nurses at the ANC clinics within 2 weeks from this day (5</t>
    </r>
    <r>
      <rPr>
        <i/>
        <vertAlign val="superscript"/>
        <sz val="14"/>
        <color theme="0"/>
        <rFont val="Calibri"/>
        <family val="2"/>
        <scheme val="minor"/>
      </rPr>
      <t>th</t>
    </r>
    <r>
      <rPr>
        <i/>
        <sz val="14"/>
        <color theme="0"/>
        <rFont val="Calibri"/>
        <family val="2"/>
        <scheme val="minor"/>
      </rPr>
      <t xml:space="preserve"> of May, 2019). To carry out this recommendation, she/he will need support from the HOD of the Obstetrics unit for technical input and review and support for printing and the Secretary of this PDSR team will follow-up on this recommendation for the team</t>
    </r>
  </si>
  <si>
    <t>SOP was developed and curretly in print with the Ministry's printers to be delivered to the facility in a week</t>
  </si>
  <si>
    <t>Secretary - Mr Caramansa</t>
  </si>
  <si>
    <t>]</t>
  </si>
  <si>
    <t>SVDs</t>
  </si>
  <si>
    <t>C-Sections</t>
  </si>
  <si>
    <t>iMMR</t>
  </si>
  <si>
    <t>Total2020</t>
  </si>
  <si>
    <t>Total2019</t>
  </si>
  <si>
    <t>2020 average</t>
  </si>
  <si>
    <t>Overall average</t>
  </si>
  <si>
    <t>Overall total</t>
  </si>
  <si>
    <t>Example (enter serial number)</t>
  </si>
  <si>
    <t>Person responsible for follow-up and reporting to team</t>
  </si>
  <si>
    <t>mp</t>
  </si>
  <si>
    <t xml:space="preserve">We recommend that all health care providers who see newborn babies considered as high risk (sick, low APGAR&lt;7/5, LBW/premature, RDS, bad obstetrics history in index pregnancy, etc.) at all points of care (including theatre, labour ward, casualty, female ward, etc.) should immediately refer them for admission to the Prem Unit within 1 week starting today the 3rd of June 2019. Matron in charge of maternity and neonatal unit should ensure this is complied with. Neonatal in-charge will report to this team. </t>
  </si>
  <si>
    <t>Matron in charge of maternity and Neonatal Unit</t>
  </si>
  <si>
    <t>Neonatal sister incharge(Sr Ndepavali)</t>
  </si>
  <si>
    <t>All high risk newborn are admitted in prem unit</t>
  </si>
  <si>
    <t>The CMO must ensure that the HOD of gynae/obstetric present to the committee (MPNDSR) a protocol on fluid resuscitation for patient in shock during the antepartum, intrapartum and postpartum admited in Rundu Hospital within two weeks from today (18/07/2019).</t>
  </si>
  <si>
    <t>CMO</t>
  </si>
  <si>
    <t>Obs/Gynae HOD</t>
  </si>
  <si>
    <t>25/07/2019</t>
  </si>
  <si>
    <t>The HOD of Obs/Gynae to print out approved protocol and distribute to all wards admitting mothers in shock which should be used by all health care provider from 25/07/2019 and the sister in charge should ensure the availability of the protocol and it is being used by the Health care workers.</t>
  </si>
  <si>
    <t>22/08/2019</t>
  </si>
  <si>
    <t>HOD of Obs/Gynae</t>
  </si>
  <si>
    <t>Matron in charge of Secialized services</t>
  </si>
  <si>
    <t>The CMO must call an urgent meeting by 12/08/2019 with all the CMOs /Mos of Rundu hospital on reinforcement of interdepartmental consultation and application of focus postnatal care (hospitalization guidelines for mothers). A mother who has non-obstetric condition should be seen by a medical Doctor from appropriate department for proper evaluation and management.</t>
  </si>
  <si>
    <t>12/08/2019</t>
  </si>
  <si>
    <t xml:space="preserve">The matron in charge of prem unit should provide an orientation for the unit staff on patient monitoring, interpretation of findings and actions to be taken in case of adverse findings. This should include ensuring that Drs who review such cases address all adverse findings found. the matron will require support from peadiatric specialist to facilitate this. </t>
  </si>
  <si>
    <t>Matron inchargeof Prem unit, Dr Kamara</t>
  </si>
  <si>
    <t>Matron in charge of Specialized services</t>
  </si>
  <si>
    <t xml:space="preserve">All Health care providers attending to/admitting new born babies should provide a complete summary of all maternal record history (ANC passport, care in labour etc) and complete all maternal records from ANC through to delivery. </t>
  </si>
  <si>
    <t>05/02/2020</t>
  </si>
  <si>
    <t xml:space="preserve">Prem unit In charge </t>
  </si>
  <si>
    <t>28/11/2019</t>
  </si>
  <si>
    <t>We recommend that all Doctors who admit or review babies in the prem unit should provide a clear care plans for the patient, write them down and communicate to the nurses.</t>
  </si>
  <si>
    <t>06/12/2019</t>
  </si>
  <si>
    <t>05/12/2019</t>
  </si>
  <si>
    <t xml:space="preserve">we recommend that all health workers attending to a fresh still birth deliveries in the labor ward and theatre must attempt resuscitation before declaring dead and and documenting. </t>
  </si>
  <si>
    <t>Maternity Ward Incharge</t>
  </si>
  <si>
    <t>Quality Control (Sr Shautama)</t>
  </si>
  <si>
    <t>We recommend that Health Care Workers in the maternity ward discharging mothers with babies , should ensure to give mothers health education on seeking early medical intentions, avoid using traditional medicines at home and it's dangers to babies. This should be documented in the maternity record and ward health education book.</t>
  </si>
  <si>
    <t>Inchargeof Prem unit</t>
  </si>
  <si>
    <t>19/12/2019</t>
  </si>
  <si>
    <t>We recommend that the protocol should be developed on how to manage pregnant women presenting with difficulty in breathingin maternity ward,</t>
  </si>
  <si>
    <t>15/01/2020</t>
  </si>
  <si>
    <t>Obs/Gynae SMO</t>
  </si>
  <si>
    <t>We recommend that orientation on developed protocol should be done to all maternity staffs (Nurses and Doctors)on handling women presenting with diffificulty in breathing.</t>
  </si>
  <si>
    <t>23/01/2020</t>
  </si>
  <si>
    <t>Inservice Trainning Personnel</t>
  </si>
  <si>
    <t>Sr Haikera</t>
  </si>
  <si>
    <t>Good practice noted of perimortem caessarian section done on a collapsed pregnant woman where two lives of newborn babies compared to one death of a mother.</t>
  </si>
  <si>
    <t>We recommend that midwifes examining mothers and have doubt with fetal heart rate by CTG, should confirm FHR by comparing with a maternal pulse.</t>
  </si>
  <si>
    <t>02/12/2019</t>
  </si>
  <si>
    <t>PENDING</t>
  </si>
  <si>
    <t>The activity</t>
  </si>
  <si>
    <t xml:space="preserve">We recommend that all midwifes attending to mothers who delivered stillborn, to make a copy on an antenatal health passport before discharging or upon death registration. </t>
  </si>
  <si>
    <t>difficult to verify</t>
  </si>
  <si>
    <t>challenges with logistic to make copies of the file</t>
  </si>
  <si>
    <t>Dr Oyedele &amp; Sr Shoopala</t>
  </si>
  <si>
    <t xml:space="preserve">Dr Kamara </t>
  </si>
  <si>
    <t>Sr Ndepavali</t>
  </si>
  <si>
    <t>Sr Shoopala</t>
  </si>
  <si>
    <t>14/05/2020</t>
  </si>
  <si>
    <t>We recommend that peaditric specialist need to develop a protocol on management of neonatal patients requiring respiratory support.</t>
  </si>
  <si>
    <t>The activity is ongoing</t>
  </si>
  <si>
    <t>We recommend that peaditric specialist should train all midwives in maternity ward on neonatal resuscitation to ensure that early resuscitation is attempted in all neonates born in distress.</t>
  </si>
  <si>
    <t>Sr Shopala</t>
  </si>
  <si>
    <t>We recommend that maternity ward incharge should ensure that all mothers are given health education which includes dangers of using traditional medicine on new born babies and importance of seeking medical care early. This will be monitored by checking on the record for health education given to post natal mothers</t>
  </si>
  <si>
    <t>07/05//2020</t>
  </si>
  <si>
    <t>We recommend that maternity ward incharge should ensure that the admitting midwifes are probing more on the reason the mother presents late (second stage of labour) to the hospital and if there is anything they may have taken at home to facilitate labour and educate them accordingly. this will help with documentation and research purpose on stillbirths.</t>
  </si>
  <si>
    <t>We recommend that maternity ward incharge to strengthen universal and complete use of partogram for every patient in active phase of labour by reviewing partograms on a daily basis. This eill help early detection on lapsis of using partogram.</t>
  </si>
  <si>
    <t>11/06/2020</t>
  </si>
  <si>
    <t>Dr Luboya</t>
  </si>
  <si>
    <t>We recommend that SMO Obs/Gynae to formulate and issue a standing order that requires all mothers who deliver stillborn babies to be discharged only after they have been reviewed by medical social workers for psychosocial support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</si>
</sst>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8" x14ac:knownFonts="1">
    <font>
      <sz val="12"/>
      <color theme="1"/>
      <name val="Calibri"/>
      <family val="2"/>
      <scheme val="minor"/>
    </font>
    <font>
      <sz val="12"/>
      <color theme="1"/>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
      <sz val="16"/>
      <color theme="1"/>
      <name val="Calibri"/>
      <family val="2"/>
      <scheme val="minor"/>
    </font>
    <font>
      <sz val="14"/>
      <color rgb="FFC00000"/>
      <name val="Calibri"/>
      <family val="2"/>
      <scheme val="minor"/>
    </font>
    <font>
      <b/>
      <sz val="14"/>
      <color rgb="FFC00000"/>
      <name val="Calibri"/>
      <family val="2"/>
      <scheme val="minor"/>
    </font>
    <font>
      <b/>
      <sz val="12"/>
      <color rgb="FFC00000"/>
      <name val="Calibri"/>
      <family val="2"/>
      <scheme val="minor"/>
    </font>
    <font>
      <i/>
      <sz val="12"/>
      <color rgb="FF0070C0"/>
      <name val="Calibri"/>
      <family val="2"/>
      <scheme val="minor"/>
    </font>
    <font>
      <b/>
      <sz val="12"/>
      <color rgb="FF7030A0"/>
      <name val="Calibri"/>
      <family val="2"/>
      <scheme val="minor"/>
    </font>
    <font>
      <sz val="12"/>
      <color rgb="FF7030A0"/>
      <name val="Calibri"/>
      <family val="2"/>
      <scheme val="minor"/>
    </font>
    <font>
      <b/>
      <sz val="16"/>
      <color rgb="FF7030A0"/>
      <name val="Calibri"/>
      <family val="2"/>
      <scheme val="minor"/>
    </font>
    <font>
      <i/>
      <sz val="16"/>
      <color rgb="FF0070C0"/>
      <name val="Calibri"/>
      <family val="2"/>
      <scheme val="minor"/>
    </font>
    <font>
      <b/>
      <sz val="16"/>
      <color theme="1"/>
      <name val="Calibri"/>
      <family val="2"/>
      <scheme val="minor"/>
    </font>
    <font>
      <b/>
      <sz val="16"/>
      <color rgb="FFC00000"/>
      <name val="Calibri"/>
      <family val="2"/>
      <scheme val="minor"/>
    </font>
    <font>
      <sz val="14"/>
      <color theme="0"/>
      <name val="Calibri"/>
      <family val="2"/>
      <scheme val="minor"/>
    </font>
    <font>
      <b/>
      <sz val="24"/>
      <color rgb="FFC00000"/>
      <name val="Calibri"/>
      <family val="2"/>
      <scheme val="minor"/>
    </font>
    <font>
      <b/>
      <sz val="14"/>
      <color theme="0"/>
      <name val="Calibri"/>
      <family val="2"/>
      <scheme val="minor"/>
    </font>
    <font>
      <b/>
      <sz val="16"/>
      <color theme="0"/>
      <name val="Calibri"/>
      <family val="2"/>
      <scheme val="minor"/>
    </font>
    <font>
      <sz val="16"/>
      <color theme="0"/>
      <name val="Calibri"/>
      <family val="2"/>
      <scheme val="minor"/>
    </font>
    <font>
      <sz val="12"/>
      <color rgb="FF941100"/>
      <name val="Calibri"/>
      <family val="2"/>
      <scheme val="minor"/>
    </font>
    <font>
      <sz val="16"/>
      <color rgb="FF941100"/>
      <name val="Calibri"/>
      <family val="2"/>
      <scheme val="minor"/>
    </font>
    <font>
      <b/>
      <sz val="20"/>
      <color theme="0"/>
      <name val="Calibri"/>
      <family val="2"/>
      <scheme val="minor"/>
    </font>
    <font>
      <sz val="24"/>
      <color rgb="FF7030A0"/>
      <name val="Calibri"/>
      <family val="2"/>
      <scheme val="minor"/>
    </font>
    <font>
      <sz val="24"/>
      <color theme="1"/>
      <name val="Calibri"/>
      <family val="2"/>
      <scheme val="minor"/>
    </font>
    <font>
      <b/>
      <sz val="16"/>
      <color rgb="FF941100"/>
      <name val="Calibri (Body)"/>
    </font>
    <font>
      <u/>
      <sz val="12"/>
      <color theme="10"/>
      <name val="Calibri"/>
      <family val="2"/>
      <scheme val="minor"/>
    </font>
    <font>
      <b/>
      <sz val="12"/>
      <color theme="0"/>
      <name val="Calibri"/>
      <family val="2"/>
      <scheme val="minor"/>
    </font>
    <font>
      <u/>
      <sz val="11"/>
      <color theme="10"/>
      <name val="Calibri"/>
      <family val="2"/>
      <scheme val="minor"/>
    </font>
    <font>
      <b/>
      <u/>
      <sz val="16"/>
      <color theme="0"/>
      <name val="Calibri"/>
      <family val="2"/>
      <scheme val="minor"/>
    </font>
    <font>
      <b/>
      <u/>
      <sz val="18"/>
      <color theme="0"/>
      <name val="Calibri"/>
      <family val="2"/>
      <scheme val="minor"/>
    </font>
    <font>
      <b/>
      <sz val="18"/>
      <color theme="0"/>
      <name val="Calibri"/>
      <family val="2"/>
      <scheme val="minor"/>
    </font>
    <font>
      <b/>
      <i/>
      <sz val="14"/>
      <color theme="1"/>
      <name val="Calibri"/>
      <family val="2"/>
      <scheme val="minor"/>
    </font>
    <font>
      <b/>
      <i/>
      <sz val="12"/>
      <color theme="1"/>
      <name val="Calibri"/>
      <family val="2"/>
      <scheme val="minor"/>
    </font>
    <font>
      <b/>
      <i/>
      <sz val="14"/>
      <color rgb="FF941100"/>
      <name val="Calibri"/>
      <family val="2"/>
      <scheme val="minor"/>
    </font>
    <font>
      <b/>
      <i/>
      <sz val="12"/>
      <color rgb="FF941100"/>
      <name val="Calibri"/>
      <family val="2"/>
      <scheme val="minor"/>
    </font>
    <font>
      <sz val="8"/>
      <name val="Calibri"/>
      <family val="2"/>
      <scheme val="minor"/>
    </font>
    <font>
      <sz val="24"/>
      <color rgb="FF000000"/>
      <name val="Calibri"/>
      <family val="2"/>
      <scheme val="minor"/>
    </font>
    <font>
      <sz val="16"/>
      <color rgb="FF000000"/>
      <name val="Calibri"/>
      <family val="2"/>
      <scheme val="minor"/>
    </font>
    <font>
      <b/>
      <sz val="16"/>
      <color rgb="FF000000"/>
      <name val="Calibri"/>
      <family val="2"/>
      <scheme val="minor"/>
    </font>
    <font>
      <sz val="14"/>
      <color theme="1"/>
      <name val="Calibri"/>
      <family val="2"/>
      <scheme val="minor"/>
    </font>
    <font>
      <i/>
      <sz val="14"/>
      <color theme="0"/>
      <name val="Calibri"/>
      <family val="2"/>
      <scheme val="minor"/>
    </font>
    <font>
      <i/>
      <vertAlign val="superscript"/>
      <sz val="14"/>
      <color theme="0"/>
      <name val="Calibri"/>
      <family val="2"/>
      <scheme val="minor"/>
    </font>
    <font>
      <sz val="14"/>
      <color theme="0"/>
      <name val="Calibri (Body)"/>
    </font>
    <font>
      <sz val="14"/>
      <color rgb="FF000000"/>
      <name val="Calibri"/>
      <family val="2"/>
      <scheme val="minor"/>
    </font>
    <font>
      <sz val="8"/>
      <color theme="0"/>
      <name val="Calibri"/>
      <family val="2"/>
      <scheme val="minor"/>
    </font>
    <font>
      <sz val="8"/>
      <color theme="1"/>
      <name val="Calibri"/>
      <family val="2"/>
      <scheme val="minor"/>
    </font>
  </fonts>
  <fills count="31">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8" tint="-0.499984740745262"/>
        <bgColor indexed="64"/>
      </patternFill>
    </fill>
    <fill>
      <patternFill patternType="solid">
        <fgColor theme="8" tint="-0.249977111117893"/>
        <bgColor indexed="64"/>
      </patternFill>
    </fill>
    <fill>
      <patternFill patternType="solid">
        <fgColor rgb="FF00B0F0"/>
        <bgColor indexed="64"/>
      </patternFill>
    </fill>
    <fill>
      <patternFill patternType="solid">
        <fgColor rgb="FF73FEFF"/>
        <bgColor indexed="64"/>
      </patternFill>
    </fill>
    <fill>
      <patternFill patternType="solid">
        <fgColor rgb="FF73FDD6"/>
        <bgColor indexed="64"/>
      </patternFill>
    </fill>
    <fill>
      <patternFill patternType="solid">
        <fgColor rgb="FFFF2F9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FF7E79"/>
        <bgColor indexed="64"/>
      </patternFill>
    </fill>
    <fill>
      <patternFill patternType="solid">
        <fgColor theme="7" tint="0.39997558519241921"/>
        <bgColor indexed="64"/>
      </patternFill>
    </fill>
    <fill>
      <patternFill patternType="solid">
        <fgColor rgb="FF941100"/>
        <bgColor indexed="64"/>
      </patternFill>
    </fill>
    <fill>
      <patternFill patternType="solid">
        <fgColor rgb="FF002060"/>
        <bgColor indexed="64"/>
      </patternFill>
    </fill>
    <fill>
      <patternFill patternType="solid">
        <fgColor rgb="FFE2EFDA"/>
        <bgColor rgb="FF000000"/>
      </patternFill>
    </fill>
    <fill>
      <patternFill patternType="solid">
        <fgColor rgb="FFC6F8F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76D6FF"/>
        <bgColor indexed="64"/>
      </patternFill>
    </fill>
    <fill>
      <patternFill patternType="solid">
        <fgColor rgb="FFFF2600"/>
        <bgColor indexed="64"/>
      </patternFill>
    </fill>
    <fill>
      <patternFill patternType="solid">
        <fgColor rgb="FFFF0000"/>
        <bgColor indexed="64"/>
      </patternFill>
    </fill>
    <fill>
      <patternFill patternType="solid">
        <fgColor rgb="FFC6F8F2"/>
        <bgColor rgb="FF000000"/>
      </patternFill>
    </fill>
    <fill>
      <patternFill patternType="solid">
        <fgColor rgb="FF7030A0"/>
        <bgColor indexed="64"/>
      </patternFill>
    </fill>
    <fill>
      <patternFill patternType="solid">
        <fgColor rgb="FF00FA00"/>
        <bgColor indexed="64"/>
      </patternFill>
    </fill>
    <fill>
      <patternFill patternType="solid">
        <fgColor rgb="FFFF6699"/>
        <bgColor indexed="64"/>
      </patternFill>
    </fill>
    <fill>
      <patternFill patternType="solid">
        <fgColor theme="1"/>
        <bgColor indexed="64"/>
      </patternFill>
    </fill>
    <fill>
      <patternFill patternType="solid">
        <fgColor rgb="FFC00000"/>
        <bgColor indexed="64"/>
      </patternFill>
    </fill>
    <fill>
      <patternFill patternType="solid">
        <fgColor rgb="FF00B050"/>
        <bgColor indexed="64"/>
      </patternFill>
    </fill>
  </fills>
  <borders count="4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right/>
      <top/>
      <bottom style="double">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style="medium">
        <color indexed="64"/>
      </left>
      <right style="thin">
        <color indexed="64"/>
      </right>
      <top/>
      <bottom/>
      <diagonal/>
    </border>
    <border>
      <left/>
      <right style="thin">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double">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style="thin">
        <color indexed="64"/>
      </bottom>
      <diagonal/>
    </border>
  </borders>
  <cellStyleXfs count="3">
    <xf numFmtId="0" fontId="0" fillId="0" borderId="0"/>
    <xf numFmtId="9" fontId="1" fillId="0" borderId="0" applyFont="0" applyFill="0" applyBorder="0" applyAlignment="0" applyProtection="0"/>
    <xf numFmtId="0" fontId="27" fillId="0" borderId="0" applyNumberFormat="0" applyFill="0" applyBorder="0" applyAlignment="0" applyProtection="0"/>
  </cellStyleXfs>
  <cellXfs count="258">
    <xf numFmtId="0" fontId="0" fillId="0" borderId="0" xfId="0"/>
    <xf numFmtId="0" fontId="5" fillId="0" borderId="0" xfId="0" applyFont="1"/>
    <xf numFmtId="0" fontId="0" fillId="2" borderId="0" xfId="0" applyFill="1" applyBorder="1"/>
    <xf numFmtId="0" fontId="7" fillId="2" borderId="1" xfId="0" applyFont="1" applyFill="1" applyBorder="1"/>
    <xf numFmtId="0" fontId="0" fillId="2" borderId="2" xfId="0" applyFill="1" applyBorder="1"/>
    <xf numFmtId="0" fontId="0" fillId="2" borderId="3" xfId="0" applyFill="1" applyBorder="1"/>
    <xf numFmtId="0" fontId="7" fillId="2" borderId="4" xfId="0" applyFont="1" applyFill="1" applyBorder="1"/>
    <xf numFmtId="0" fontId="0" fillId="2" borderId="5" xfId="0" applyFill="1" applyBorder="1"/>
    <xf numFmtId="0" fontId="8" fillId="2" borderId="4" xfId="0" applyFont="1" applyFill="1" applyBorder="1"/>
    <xf numFmtId="0" fontId="9" fillId="0" borderId="11" xfId="0" applyFont="1" applyBorder="1" applyAlignment="1">
      <alignment horizontal="right"/>
    </xf>
    <xf numFmtId="0" fontId="9" fillId="0" borderId="12" xfId="0" applyFont="1" applyBorder="1" applyAlignment="1">
      <alignment horizontal="right"/>
    </xf>
    <xf numFmtId="0" fontId="9" fillId="0" borderId="14" xfId="0" applyFont="1" applyBorder="1" applyAlignment="1">
      <alignment horizontal="right"/>
    </xf>
    <xf numFmtId="0" fontId="0" fillId="0" borderId="0" xfId="0" applyAlignment="1">
      <alignment horizontal="center"/>
    </xf>
    <xf numFmtId="0" fontId="7" fillId="0" borderId="0" xfId="0" applyFont="1" applyAlignment="1">
      <alignment horizontal="center"/>
    </xf>
    <xf numFmtId="0" fontId="11" fillId="0" borderId="9" xfId="0" applyFont="1" applyBorder="1" applyAlignment="1">
      <alignment horizontal="center"/>
    </xf>
    <xf numFmtId="0" fontId="11" fillId="0" borderId="10" xfId="0" applyFont="1" applyBorder="1" applyAlignment="1">
      <alignment horizontal="center"/>
    </xf>
    <xf numFmtId="0" fontId="12" fillId="3" borderId="8" xfId="0" applyFont="1" applyFill="1" applyBorder="1"/>
    <xf numFmtId="0" fontId="13" fillId="0" borderId="11" xfId="0" applyFont="1" applyBorder="1" applyAlignment="1">
      <alignment horizontal="right"/>
    </xf>
    <xf numFmtId="0" fontId="13" fillId="0" borderId="14" xfId="0" applyFont="1" applyBorder="1" applyAlignment="1">
      <alignment horizontal="right"/>
    </xf>
    <xf numFmtId="0" fontId="13" fillId="0" borderId="12" xfId="0" applyFont="1" applyBorder="1" applyAlignment="1">
      <alignment horizontal="right"/>
    </xf>
    <xf numFmtId="0" fontId="15" fillId="0" borderId="0" xfId="0" applyFont="1"/>
    <xf numFmtId="0" fontId="7" fillId="4" borderId="21" xfId="0" applyFont="1" applyFill="1" applyBorder="1" applyAlignment="1">
      <alignment horizontal="center"/>
    </xf>
    <xf numFmtId="0" fontId="16" fillId="5" borderId="21" xfId="0" applyFont="1" applyFill="1" applyBorder="1" applyAlignment="1">
      <alignment horizontal="center"/>
    </xf>
    <xf numFmtId="0" fontId="6" fillId="8" borderId="21" xfId="0" applyFont="1" applyFill="1" applyBorder="1" applyAlignment="1">
      <alignment horizontal="center"/>
    </xf>
    <xf numFmtId="0" fontId="16" fillId="6" borderId="21" xfId="0" applyFont="1" applyFill="1" applyBorder="1" applyAlignment="1">
      <alignment horizontal="center"/>
    </xf>
    <xf numFmtId="0" fontId="6" fillId="9" borderId="21" xfId="0" applyFont="1" applyFill="1" applyBorder="1" applyAlignment="1">
      <alignment horizontal="center"/>
    </xf>
    <xf numFmtId="0" fontId="16" fillId="7" borderId="21" xfId="0" applyFont="1" applyFill="1" applyBorder="1" applyAlignment="1">
      <alignment horizontal="center"/>
    </xf>
    <xf numFmtId="0" fontId="6" fillId="11" borderId="21" xfId="0" applyFont="1" applyFill="1" applyBorder="1" applyAlignment="1">
      <alignment horizontal="center"/>
    </xf>
    <xf numFmtId="0" fontId="16" fillId="10" borderId="21" xfId="0" applyFont="1" applyFill="1" applyBorder="1" applyAlignment="1">
      <alignment horizontal="center"/>
    </xf>
    <xf numFmtId="0" fontId="7" fillId="12" borderId="21" xfId="0" applyFont="1" applyFill="1" applyBorder="1" applyAlignment="1">
      <alignment horizontal="center"/>
    </xf>
    <xf numFmtId="0" fontId="16" fillId="13" borderId="21" xfId="0" applyFont="1" applyFill="1" applyBorder="1" applyAlignment="1">
      <alignment horizontal="center"/>
    </xf>
    <xf numFmtId="0" fontId="6" fillId="14" borderId="21" xfId="0" applyFont="1" applyFill="1" applyBorder="1" applyAlignment="1">
      <alignment horizontal="center"/>
    </xf>
    <xf numFmtId="0" fontId="16" fillId="15" borderId="22" xfId="0" applyFont="1" applyFill="1" applyBorder="1" applyAlignment="1">
      <alignment horizontal="center"/>
    </xf>
    <xf numFmtId="0" fontId="0" fillId="0" borderId="0" xfId="0" applyAlignment="1">
      <alignment vertical="center"/>
    </xf>
    <xf numFmtId="0" fontId="12" fillId="17" borderId="8" xfId="0" applyFont="1" applyFill="1" applyBorder="1"/>
    <xf numFmtId="164" fontId="0" fillId="0" borderId="6" xfId="1" applyNumberFormat="1" applyFont="1" applyBorder="1" applyAlignment="1">
      <alignment horizontal="center" vertical="center"/>
    </xf>
    <xf numFmtId="164" fontId="21" fillId="0" borderId="6" xfId="1" applyNumberFormat="1" applyFont="1" applyBorder="1" applyAlignment="1">
      <alignment horizontal="center" vertical="center"/>
    </xf>
    <xf numFmtId="0" fontId="14" fillId="0" borderId="11" xfId="0" applyFont="1" applyBorder="1" applyAlignment="1">
      <alignment vertical="center"/>
    </xf>
    <xf numFmtId="0" fontId="22" fillId="0" borderId="11" xfId="0" applyFont="1" applyBorder="1" applyAlignment="1">
      <alignment vertical="center"/>
    </xf>
    <xf numFmtId="164" fontId="20" fillId="16" borderId="6" xfId="1" applyNumberFormat="1" applyFont="1" applyFill="1" applyBorder="1" applyAlignment="1">
      <alignment horizontal="center" vertical="center"/>
    </xf>
    <xf numFmtId="165" fontId="20" fillId="16" borderId="6" xfId="0" applyNumberFormat="1" applyFont="1" applyFill="1" applyBorder="1" applyAlignment="1">
      <alignment horizontal="center" vertical="center"/>
    </xf>
    <xf numFmtId="165" fontId="0" fillId="0" borderId="6" xfId="0" applyNumberFormat="1" applyBorder="1" applyAlignment="1">
      <alignment horizontal="center" vertical="center"/>
    </xf>
    <xf numFmtId="165" fontId="21" fillId="0" borderId="6" xfId="0" applyNumberFormat="1" applyFont="1" applyBorder="1" applyAlignment="1">
      <alignment horizontal="center" vertical="center"/>
    </xf>
    <xf numFmtId="0" fontId="19" fillId="16" borderId="9" xfId="0" applyFont="1" applyFill="1" applyBorder="1" applyAlignment="1">
      <alignment horizontal="center" vertical="center" wrapText="1"/>
    </xf>
    <xf numFmtId="0" fontId="7" fillId="0" borderId="20" xfId="0" applyFont="1" applyBorder="1"/>
    <xf numFmtId="0" fontId="24" fillId="3" borderId="9" xfId="0" applyFont="1" applyFill="1" applyBorder="1" applyAlignment="1">
      <alignment horizontal="center"/>
    </xf>
    <xf numFmtId="0" fontId="25" fillId="0" borderId="6" xfId="0" applyFont="1" applyBorder="1" applyAlignment="1">
      <alignment horizontal="center"/>
    </xf>
    <xf numFmtId="0" fontId="25" fillId="0" borderId="15" xfId="0" applyFont="1" applyBorder="1" applyAlignment="1">
      <alignment horizontal="center"/>
    </xf>
    <xf numFmtId="0" fontId="24" fillId="0" borderId="6" xfId="0" applyFont="1" applyFill="1" applyBorder="1" applyAlignment="1">
      <alignment horizontal="center"/>
    </xf>
    <xf numFmtId="0" fontId="24" fillId="0" borderId="15" xfId="0" applyFont="1" applyFill="1" applyBorder="1" applyAlignment="1">
      <alignment horizontal="center"/>
    </xf>
    <xf numFmtId="0" fontId="25" fillId="0" borderId="13" xfId="0" applyFont="1" applyBorder="1" applyAlignment="1">
      <alignment horizontal="center"/>
    </xf>
    <xf numFmtId="0" fontId="24" fillId="17" borderId="23" xfId="0" applyFont="1" applyFill="1" applyBorder="1" applyAlignment="1">
      <alignment horizontal="center"/>
    </xf>
    <xf numFmtId="0" fontId="12" fillId="3" borderId="18" xfId="0" applyFont="1" applyFill="1" applyBorder="1"/>
    <xf numFmtId="0" fontId="24" fillId="3" borderId="16" xfId="0" applyFont="1" applyFill="1" applyBorder="1" applyAlignment="1">
      <alignment horizontal="center"/>
    </xf>
    <xf numFmtId="0" fontId="14" fillId="18" borderId="16" xfId="0" applyFont="1" applyFill="1" applyBorder="1"/>
    <xf numFmtId="0" fontId="25" fillId="18" borderId="16" xfId="0" applyFont="1" applyFill="1" applyBorder="1" applyAlignment="1">
      <alignment horizontal="center"/>
    </xf>
    <xf numFmtId="0" fontId="4" fillId="2" borderId="2" xfId="0" applyFont="1" applyFill="1" applyBorder="1"/>
    <xf numFmtId="0" fontId="4" fillId="2" borderId="0" xfId="0" applyFont="1" applyFill="1" applyBorder="1"/>
    <xf numFmtId="0" fontId="22" fillId="0" borderId="14" xfId="0" applyFont="1" applyBorder="1" applyAlignment="1">
      <alignment vertical="center"/>
    </xf>
    <xf numFmtId="164" fontId="20" fillId="16" borderId="15" xfId="1" applyNumberFormat="1" applyFont="1" applyFill="1" applyBorder="1" applyAlignment="1">
      <alignment horizontal="center" vertical="center"/>
    </xf>
    <xf numFmtId="164" fontId="21" fillId="0" borderId="15" xfId="1" applyNumberFormat="1" applyFont="1" applyBorder="1" applyAlignment="1">
      <alignment horizontal="center" vertical="center"/>
    </xf>
    <xf numFmtId="0" fontId="14" fillId="0" borderId="6" xfId="0" applyFont="1" applyBorder="1" applyAlignment="1">
      <alignment vertical="center"/>
    </xf>
    <xf numFmtId="164" fontId="1" fillId="0" borderId="6" xfId="1" applyNumberFormat="1" applyFont="1" applyBorder="1" applyAlignment="1">
      <alignment horizontal="center" vertical="center"/>
    </xf>
    <xf numFmtId="165" fontId="0" fillId="19" borderId="6" xfId="0" applyNumberFormat="1" applyFill="1" applyBorder="1" applyAlignment="1">
      <alignment horizontal="center" vertical="center"/>
    </xf>
    <xf numFmtId="164" fontId="21" fillId="19" borderId="6" xfId="1" applyNumberFormat="1" applyFont="1" applyFill="1" applyBorder="1" applyAlignment="1">
      <alignment horizontal="center" vertical="center"/>
    </xf>
    <xf numFmtId="165" fontId="21" fillId="19" borderId="6" xfId="0" applyNumberFormat="1" applyFont="1" applyFill="1" applyBorder="1" applyAlignment="1">
      <alignment horizontal="center" vertical="center"/>
    </xf>
    <xf numFmtId="164" fontId="0" fillId="19" borderId="6" xfId="1" applyNumberFormat="1" applyFont="1" applyFill="1" applyBorder="1" applyAlignment="1">
      <alignment horizontal="center" vertical="center"/>
    </xf>
    <xf numFmtId="164" fontId="21" fillId="19" borderId="15" xfId="1" applyNumberFormat="1" applyFont="1" applyFill="1" applyBorder="1" applyAlignment="1">
      <alignment horizontal="center" vertical="center"/>
    </xf>
    <xf numFmtId="164" fontId="1" fillId="19" borderId="6" xfId="1" applyNumberFormat="1" applyFont="1" applyFill="1" applyBorder="1" applyAlignment="1">
      <alignment horizontal="center" vertical="center"/>
    </xf>
    <xf numFmtId="0" fontId="20" fillId="7" borderId="22" xfId="0" applyFont="1" applyFill="1" applyBorder="1" applyAlignment="1">
      <alignment horizontal="center"/>
    </xf>
    <xf numFmtId="0" fontId="3" fillId="20" borderId="0" xfId="0" applyFont="1" applyFill="1" applyAlignment="1">
      <alignment horizontal="center"/>
    </xf>
    <xf numFmtId="0" fontId="0" fillId="2" borderId="0" xfId="0" applyFill="1"/>
    <xf numFmtId="0" fontId="22" fillId="0" borderId="6" xfId="0" applyFont="1" applyBorder="1"/>
    <xf numFmtId="0" fontId="21" fillId="0" borderId="25" xfId="0" applyFont="1" applyBorder="1" applyAlignment="1">
      <alignment horizontal="center"/>
    </xf>
    <xf numFmtId="165" fontId="20" fillId="20" borderId="6" xfId="0" applyNumberFormat="1" applyFont="1" applyFill="1" applyBorder="1" applyAlignment="1">
      <alignment horizontal="center" vertical="center"/>
    </xf>
    <xf numFmtId="164" fontId="20" fillId="20" borderId="6" xfId="1" applyNumberFormat="1" applyFont="1" applyFill="1" applyBorder="1" applyAlignment="1">
      <alignment horizontal="center" vertical="center"/>
    </xf>
    <xf numFmtId="0" fontId="0" fillId="21" borderId="0" xfId="0" applyFill="1"/>
    <xf numFmtId="0" fontId="29" fillId="21" borderId="0" xfId="2" quotePrefix="1" applyFont="1" applyFill="1"/>
    <xf numFmtId="0" fontId="31" fillId="22" borderId="0" xfId="2" applyFont="1" applyFill="1" applyAlignment="1">
      <alignment horizontal="center" vertical="center"/>
    </xf>
    <xf numFmtId="0" fontId="30" fillId="20" borderId="0" xfId="2" applyFont="1" applyFill="1" applyAlignment="1">
      <alignment horizontal="center" vertical="center"/>
    </xf>
    <xf numFmtId="0" fontId="32" fillId="23" borderId="0" xfId="2" applyFont="1" applyFill="1" applyAlignment="1">
      <alignment horizontal="center" vertical="center"/>
    </xf>
    <xf numFmtId="0" fontId="23" fillId="22" borderId="0" xfId="2" applyFont="1" applyFill="1" applyAlignment="1">
      <alignment horizontal="center" vertical="center"/>
    </xf>
    <xf numFmtId="0" fontId="23" fillId="23" borderId="0" xfId="2" quotePrefix="1" applyFont="1" applyFill="1" applyAlignment="1">
      <alignment horizontal="center" vertical="center"/>
    </xf>
    <xf numFmtId="0" fontId="32" fillId="23" borderId="0" xfId="2" quotePrefix="1" applyFont="1" applyFill="1" applyAlignment="1">
      <alignment horizontal="center" vertical="center"/>
    </xf>
    <xf numFmtId="0" fontId="0" fillId="2" borderId="27" xfId="0" applyFill="1" applyBorder="1"/>
    <xf numFmtId="0" fontId="4" fillId="2" borderId="0" xfId="0" applyFont="1" applyFill="1" applyBorder="1" applyAlignment="1">
      <alignment horizontal="center" vertical="center"/>
    </xf>
    <xf numFmtId="0" fontId="2" fillId="2" borderId="0" xfId="0" applyFont="1" applyFill="1" applyBorder="1"/>
    <xf numFmtId="165" fontId="4" fillId="2" borderId="0" xfId="0" applyNumberFormat="1" applyFont="1" applyFill="1" applyBorder="1" applyAlignment="1">
      <alignment horizontal="center" vertical="center"/>
    </xf>
    <xf numFmtId="0" fontId="35" fillId="2" borderId="0" xfId="0" applyFont="1" applyFill="1" applyBorder="1"/>
    <xf numFmtId="0" fontId="35" fillId="2" borderId="0" xfId="0" applyFont="1" applyFill="1" applyBorder="1" applyAlignment="1">
      <alignment horizontal="center" vertical="center"/>
    </xf>
    <xf numFmtId="0" fontId="36" fillId="2" borderId="0" xfId="0" applyFont="1" applyFill="1" applyBorder="1"/>
    <xf numFmtId="165" fontId="35" fillId="2" borderId="0" xfId="0" applyNumberFormat="1" applyFont="1" applyFill="1" applyBorder="1" applyAlignment="1">
      <alignment horizontal="center" vertical="center"/>
    </xf>
    <xf numFmtId="0" fontId="35" fillId="2" borderId="27" xfId="0" applyFont="1" applyFill="1" applyBorder="1"/>
    <xf numFmtId="0" fontId="36" fillId="2" borderId="27" xfId="0" applyFont="1" applyFill="1" applyBorder="1"/>
    <xf numFmtId="165" fontId="35" fillId="2" borderId="27" xfId="0" applyNumberFormat="1" applyFont="1" applyFill="1" applyBorder="1" applyAlignment="1">
      <alignment horizontal="center" vertical="center"/>
    </xf>
    <xf numFmtId="0" fontId="18" fillId="7" borderId="26" xfId="0" applyFont="1" applyFill="1" applyBorder="1"/>
    <xf numFmtId="0" fontId="18" fillId="7" borderId="26" xfId="0" applyFont="1" applyFill="1" applyBorder="1" applyAlignment="1">
      <alignment horizontal="center" vertical="center"/>
    </xf>
    <xf numFmtId="0" fontId="28" fillId="7" borderId="26" xfId="0" applyFont="1" applyFill="1" applyBorder="1"/>
    <xf numFmtId="0" fontId="25" fillId="0" borderId="6" xfId="0" applyFont="1" applyFill="1" applyBorder="1" applyAlignment="1">
      <alignment horizontal="center"/>
    </xf>
    <xf numFmtId="0" fontId="25" fillId="0" borderId="28" xfId="0" applyFont="1" applyFill="1" applyBorder="1" applyAlignment="1">
      <alignment horizontal="center"/>
    </xf>
    <xf numFmtId="0" fontId="25" fillId="0" borderId="13" xfId="0" applyFont="1" applyFill="1" applyBorder="1" applyAlignment="1">
      <alignment horizontal="center"/>
    </xf>
    <xf numFmtId="0" fontId="25" fillId="0" borderId="29" xfId="0" applyFont="1" applyFill="1" applyBorder="1" applyAlignment="1">
      <alignment horizontal="center"/>
    </xf>
    <xf numFmtId="0" fontId="25" fillId="0" borderId="16" xfId="0" applyFont="1" applyFill="1" applyBorder="1" applyAlignment="1">
      <alignment horizontal="center"/>
    </xf>
    <xf numFmtId="0" fontId="25" fillId="0" borderId="19" xfId="0" applyFont="1" applyFill="1" applyBorder="1" applyAlignment="1">
      <alignment horizontal="center"/>
    </xf>
    <xf numFmtId="0" fontId="12" fillId="3" borderId="30" xfId="0" applyFont="1" applyFill="1" applyBorder="1"/>
    <xf numFmtId="0" fontId="24" fillId="3" borderId="31" xfId="0" applyFont="1" applyFill="1" applyBorder="1" applyAlignment="1">
      <alignment horizontal="center"/>
    </xf>
    <xf numFmtId="0" fontId="13" fillId="0" borderId="8" xfId="0" applyFont="1" applyBorder="1" applyAlignment="1">
      <alignment horizontal="right"/>
    </xf>
    <xf numFmtId="0" fontId="25" fillId="0" borderId="9" xfId="0" applyFont="1" applyBorder="1" applyAlignment="1">
      <alignment horizontal="center"/>
    </xf>
    <xf numFmtId="0" fontId="25" fillId="0" borderId="10" xfId="0" applyFont="1" applyBorder="1" applyAlignment="1">
      <alignment horizontal="center"/>
    </xf>
    <xf numFmtId="0" fontId="25" fillId="0" borderId="28" xfId="0" applyFont="1" applyBorder="1" applyAlignment="1">
      <alignment horizontal="center"/>
    </xf>
    <xf numFmtId="0" fontId="25" fillId="0" borderId="29" xfId="0" applyFont="1" applyBorder="1" applyAlignment="1">
      <alignment horizontal="center"/>
    </xf>
    <xf numFmtId="0" fontId="5" fillId="0" borderId="18" xfId="0" applyFont="1" applyFill="1" applyBorder="1" applyAlignment="1">
      <alignment horizontal="right"/>
    </xf>
    <xf numFmtId="0" fontId="14" fillId="0" borderId="11" xfId="0" applyFont="1" applyFill="1" applyBorder="1" applyAlignment="1">
      <alignment horizontal="right"/>
    </xf>
    <xf numFmtId="0" fontId="5" fillId="0" borderId="11" xfId="0" applyFont="1" applyFill="1" applyBorder="1" applyAlignment="1">
      <alignment horizontal="right"/>
    </xf>
    <xf numFmtId="0" fontId="14" fillId="0" borderId="12" xfId="0" applyFont="1" applyFill="1" applyBorder="1" applyAlignment="1">
      <alignment horizontal="right"/>
    </xf>
    <xf numFmtId="0" fontId="13" fillId="0" borderId="18" xfId="0" applyFont="1" applyBorder="1" applyAlignment="1">
      <alignment horizontal="right"/>
    </xf>
    <xf numFmtId="0" fontId="38" fillId="0" borderId="32" xfId="0" applyFont="1" applyBorder="1" applyAlignment="1">
      <alignment horizontal="center"/>
    </xf>
    <xf numFmtId="0" fontId="13" fillId="0" borderId="33" xfId="0" applyFont="1" applyBorder="1" applyAlignment="1">
      <alignment horizontal="right"/>
    </xf>
    <xf numFmtId="0" fontId="38" fillId="0" borderId="7" xfId="0" applyFont="1" applyBorder="1" applyAlignment="1">
      <alignment horizontal="center"/>
    </xf>
    <xf numFmtId="0" fontId="24" fillId="0" borderId="32" xfId="0" applyFont="1" applyBorder="1" applyAlignment="1">
      <alignment horizontal="center"/>
    </xf>
    <xf numFmtId="0" fontId="24" fillId="0" borderId="7" xfId="0" applyFont="1" applyBorder="1" applyAlignment="1">
      <alignment horizontal="center"/>
    </xf>
    <xf numFmtId="0" fontId="13" fillId="0" borderId="24" xfId="0" applyFont="1" applyBorder="1" applyAlignment="1">
      <alignment horizontal="right"/>
    </xf>
    <xf numFmtId="0" fontId="38" fillId="0" borderId="34" xfId="0" applyFont="1" applyBorder="1" applyAlignment="1">
      <alignment horizontal="center"/>
    </xf>
    <xf numFmtId="0" fontId="12" fillId="17" borderId="33" xfId="0" applyFont="1" applyFill="1" applyBorder="1"/>
    <xf numFmtId="0" fontId="24" fillId="17" borderId="7" xfId="0" applyFont="1" applyFill="1" applyBorder="1" applyAlignment="1">
      <alignment horizontal="center"/>
    </xf>
    <xf numFmtId="0" fontId="38" fillId="0" borderId="23" xfId="0" applyFont="1" applyBorder="1" applyAlignment="1">
      <alignment horizontal="center"/>
    </xf>
    <xf numFmtId="0" fontId="39" fillId="0" borderId="18" xfId="0" applyFont="1" applyBorder="1" applyAlignment="1">
      <alignment horizontal="right"/>
    </xf>
    <xf numFmtId="0" fontId="40" fillId="0" borderId="18" xfId="0" applyFont="1" applyBorder="1" applyAlignment="1">
      <alignment horizontal="right"/>
    </xf>
    <xf numFmtId="0" fontId="40" fillId="0" borderId="24" xfId="0" applyFont="1" applyBorder="1" applyAlignment="1">
      <alignment horizontal="right"/>
    </xf>
    <xf numFmtId="0" fontId="12" fillId="17" borderId="18" xfId="0" applyFont="1" applyFill="1" applyBorder="1"/>
    <xf numFmtId="0" fontId="24" fillId="17" borderId="32" xfId="0" applyFont="1" applyFill="1" applyBorder="1" applyAlignment="1">
      <alignment horizontal="center"/>
    </xf>
    <xf numFmtId="0" fontId="40" fillId="24" borderId="16" xfId="0" applyFont="1" applyFill="1" applyBorder="1"/>
    <xf numFmtId="0" fontId="38" fillId="24" borderId="32" xfId="0" applyFont="1" applyFill="1" applyBorder="1" applyAlignment="1">
      <alignment horizontal="center"/>
    </xf>
    <xf numFmtId="0" fontId="10" fillId="8" borderId="18" xfId="0" applyFont="1" applyFill="1" applyBorder="1"/>
    <xf numFmtId="0" fontId="11" fillId="8" borderId="9" xfId="0" applyFont="1" applyFill="1" applyBorder="1" applyAlignment="1">
      <alignment horizontal="center"/>
    </xf>
    <xf numFmtId="0" fontId="11" fillId="8" borderId="10" xfId="0" applyFont="1" applyFill="1" applyBorder="1" applyAlignment="1">
      <alignment horizontal="center"/>
    </xf>
    <xf numFmtId="0" fontId="10" fillId="8" borderId="8" xfId="0" applyFont="1" applyFill="1" applyBorder="1"/>
    <xf numFmtId="0" fontId="14" fillId="8" borderId="24" xfId="0" applyFont="1" applyFill="1" applyBorder="1"/>
    <xf numFmtId="0" fontId="11" fillId="8" borderId="17" xfId="0" applyFont="1" applyFill="1" applyBorder="1" applyAlignment="1">
      <alignment horizontal="center"/>
    </xf>
    <xf numFmtId="0" fontId="11" fillId="0" borderId="6" xfId="0" applyFont="1" applyFill="1" applyBorder="1" applyAlignment="1">
      <alignment horizontal="center"/>
    </xf>
    <xf numFmtId="0" fontId="11" fillId="8" borderId="31" xfId="0" applyFont="1" applyFill="1" applyBorder="1" applyAlignment="1">
      <alignment horizontal="center"/>
    </xf>
    <xf numFmtId="0" fontId="9" fillId="0" borderId="35" xfId="0" applyFont="1" applyBorder="1" applyAlignment="1">
      <alignment horizontal="right"/>
    </xf>
    <xf numFmtId="0" fontId="9" fillId="0" borderId="36" xfId="0" applyFont="1" applyBorder="1" applyAlignment="1">
      <alignment horizontal="right"/>
    </xf>
    <xf numFmtId="0" fontId="2" fillId="0" borderId="20" xfId="0" applyFont="1" applyBorder="1"/>
    <xf numFmtId="0" fontId="23" fillId="15" borderId="0" xfId="0" applyFont="1" applyFill="1" applyAlignment="1">
      <alignment vertical="center"/>
    </xf>
    <xf numFmtId="0" fontId="7" fillId="0" borderId="0" xfId="0" applyFont="1" applyAlignment="1">
      <alignment horizontal="center" wrapText="1"/>
    </xf>
    <xf numFmtId="14" fontId="7" fillId="0" borderId="0" xfId="0" applyNumberFormat="1" applyFont="1" applyAlignment="1">
      <alignment horizontal="center" wrapText="1"/>
    </xf>
    <xf numFmtId="0" fontId="32" fillId="25" borderId="0" xfId="2" applyFont="1" applyFill="1" applyAlignment="1">
      <alignment horizontal="center" vertical="center"/>
    </xf>
    <xf numFmtId="14" fontId="41" fillId="0" borderId="0" xfId="0" applyNumberFormat="1" applyFont="1" applyAlignment="1">
      <alignment horizontal="center" vertical="center"/>
    </xf>
    <xf numFmtId="0" fontId="0" fillId="0" borderId="0" xfId="0" applyFont="1" applyAlignment="1">
      <alignment horizontal="center" vertical="center"/>
    </xf>
    <xf numFmtId="0" fontId="0" fillId="2" borderId="37" xfId="0" applyFill="1" applyBorder="1"/>
    <xf numFmtId="0" fontId="0" fillId="0" borderId="0" xfId="0" applyFont="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wrapText="1"/>
    </xf>
    <xf numFmtId="0" fontId="41" fillId="0" borderId="0" xfId="0" applyFont="1" applyAlignment="1">
      <alignment wrapText="1"/>
    </xf>
    <xf numFmtId="0" fontId="23" fillId="23" borderId="6" xfId="2" applyFont="1" applyFill="1" applyBorder="1" applyAlignment="1">
      <alignment vertical="center"/>
    </xf>
    <xf numFmtId="0" fontId="0" fillId="0" borderId="6" xfId="0" applyFont="1" applyBorder="1" applyAlignment="1">
      <alignment horizontal="left" vertical="center" wrapText="1"/>
    </xf>
    <xf numFmtId="14" fontId="41" fillId="0" borderId="6" xfId="0" applyNumberFormat="1" applyFont="1" applyBorder="1" applyAlignment="1">
      <alignment horizontal="center" vertical="center"/>
    </xf>
    <xf numFmtId="0" fontId="0" fillId="0" borderId="6" xfId="0" applyFont="1" applyBorder="1" applyAlignment="1">
      <alignment horizontal="center" vertical="center"/>
    </xf>
    <xf numFmtId="0" fontId="0" fillId="0" borderId="6" xfId="0" applyFont="1" applyBorder="1" applyAlignment="1">
      <alignment horizontal="center" vertical="center" wrapText="1"/>
    </xf>
    <xf numFmtId="0" fontId="27" fillId="0" borderId="6" xfId="2" applyFont="1" applyBorder="1" applyAlignment="1">
      <alignment horizontal="center" vertical="center" wrapText="1"/>
    </xf>
    <xf numFmtId="14" fontId="28" fillId="20" borderId="6" xfId="0" applyNumberFormat="1" applyFont="1" applyFill="1" applyBorder="1" applyAlignment="1">
      <alignment horizontal="center" vertical="center" wrapText="1"/>
    </xf>
    <xf numFmtId="0" fontId="28" fillId="20" borderId="6" xfId="0" applyFont="1" applyFill="1" applyBorder="1" applyAlignment="1">
      <alignment horizontal="center" vertical="center" wrapText="1"/>
    </xf>
    <xf numFmtId="0" fontId="10" fillId="8" borderId="30" xfId="0" applyFont="1" applyFill="1" applyBorder="1"/>
    <xf numFmtId="0" fontId="11" fillId="8" borderId="38" xfId="0" applyFont="1" applyFill="1" applyBorder="1" applyAlignment="1">
      <alignment horizontal="center"/>
    </xf>
    <xf numFmtId="0" fontId="11" fillId="8" borderId="39" xfId="0" applyFont="1" applyFill="1" applyBorder="1" applyAlignment="1">
      <alignment horizontal="center"/>
    </xf>
    <xf numFmtId="0" fontId="9" fillId="0" borderId="6" xfId="0" applyFont="1" applyFill="1" applyBorder="1" applyAlignment="1">
      <alignment horizontal="right"/>
    </xf>
    <xf numFmtId="0" fontId="11" fillId="0" borderId="16" xfId="0" applyFont="1" applyFill="1" applyBorder="1" applyAlignment="1">
      <alignment horizontal="center"/>
    </xf>
    <xf numFmtId="0" fontId="11" fillId="8" borderId="40" xfId="0" applyFont="1" applyFill="1" applyBorder="1" applyAlignment="1">
      <alignment horizontal="center"/>
    </xf>
    <xf numFmtId="0" fontId="11" fillId="0" borderId="16" xfId="0" applyFont="1" applyBorder="1" applyAlignment="1">
      <alignment horizontal="center"/>
    </xf>
    <xf numFmtId="0" fontId="11" fillId="0" borderId="19" xfId="0" applyFont="1" applyBorder="1" applyAlignment="1">
      <alignment horizontal="center"/>
    </xf>
    <xf numFmtId="0" fontId="11" fillId="8" borderId="6" xfId="0" applyFont="1" applyFill="1" applyBorder="1" applyAlignment="1">
      <alignment horizontal="center"/>
    </xf>
    <xf numFmtId="0" fontId="35" fillId="2" borderId="2" xfId="0" applyFont="1" applyFill="1" applyBorder="1"/>
    <xf numFmtId="0" fontId="35" fillId="2" borderId="2" xfId="0" applyFont="1" applyFill="1" applyBorder="1" applyAlignment="1">
      <alignment horizontal="center" vertical="center"/>
    </xf>
    <xf numFmtId="0" fontId="34" fillId="2" borderId="2" xfId="0" applyFont="1" applyFill="1" applyBorder="1"/>
    <xf numFmtId="0" fontId="33" fillId="2" borderId="2" xfId="0" applyFont="1" applyFill="1" applyBorder="1" applyAlignment="1">
      <alignment horizontal="center" vertical="center"/>
    </xf>
    <xf numFmtId="1" fontId="35" fillId="2" borderId="27" xfId="0" applyNumberFormat="1" applyFont="1" applyFill="1" applyBorder="1" applyAlignment="1">
      <alignment horizontal="center" vertical="center"/>
    </xf>
    <xf numFmtId="0" fontId="7" fillId="2" borderId="0" xfId="0" applyFont="1" applyFill="1" applyBorder="1" applyAlignment="1">
      <alignment horizontal="center"/>
    </xf>
    <xf numFmtId="0" fontId="41" fillId="2" borderId="0" xfId="0" applyFont="1" applyFill="1" applyBorder="1"/>
    <xf numFmtId="0" fontId="4" fillId="2" borderId="0" xfId="0" applyFont="1" applyFill="1" applyBorder="1" applyAlignment="1">
      <alignment horizontal="center"/>
    </xf>
    <xf numFmtId="164" fontId="4" fillId="0" borderId="0" xfId="1" applyNumberFormat="1" applyFont="1" applyFill="1" applyBorder="1" applyAlignment="1">
      <alignment horizontal="center"/>
    </xf>
    <xf numFmtId="0" fontId="41" fillId="2" borderId="0" xfId="0" applyFont="1" applyFill="1"/>
    <xf numFmtId="0" fontId="41" fillId="2" borderId="27" xfId="0" applyFont="1" applyFill="1" applyBorder="1"/>
    <xf numFmtId="0" fontId="0" fillId="0" borderId="6" xfId="0" applyBorder="1" applyAlignment="1">
      <alignment horizontal="center" vertical="center"/>
    </xf>
    <xf numFmtId="0" fontId="41" fillId="0" borderId="6" xfId="0" applyFont="1" applyBorder="1" applyAlignment="1">
      <alignment horizontal="center" vertical="center" wrapText="1"/>
    </xf>
    <xf numFmtId="0" fontId="45" fillId="0" borderId="0" xfId="0" applyFont="1" applyAlignment="1">
      <alignment horizontal="left" vertical="center" wrapText="1"/>
    </xf>
    <xf numFmtId="17" fontId="7" fillId="4" borderId="9" xfId="0" applyNumberFormat="1" applyFont="1" applyFill="1" applyBorder="1" applyAlignment="1">
      <alignment horizontal="center" vertical="center"/>
    </xf>
    <xf numFmtId="17" fontId="18" fillId="5" borderId="9" xfId="0" applyNumberFormat="1" applyFont="1" applyFill="1" applyBorder="1" applyAlignment="1">
      <alignment horizontal="center" vertical="center"/>
    </xf>
    <xf numFmtId="17" fontId="7" fillId="8" borderId="9" xfId="0" applyNumberFormat="1" applyFont="1" applyFill="1" applyBorder="1" applyAlignment="1">
      <alignment horizontal="center" vertical="center"/>
    </xf>
    <xf numFmtId="17" fontId="18" fillId="6" borderId="9" xfId="0" applyNumberFormat="1" applyFont="1" applyFill="1" applyBorder="1" applyAlignment="1">
      <alignment horizontal="center" vertical="center"/>
    </xf>
    <xf numFmtId="17" fontId="7" fillId="9" borderId="9" xfId="0" applyNumberFormat="1" applyFont="1" applyFill="1" applyBorder="1" applyAlignment="1">
      <alignment horizontal="center" vertical="center"/>
    </xf>
    <xf numFmtId="17" fontId="18" fillId="7" borderId="9" xfId="0" applyNumberFormat="1" applyFont="1" applyFill="1" applyBorder="1" applyAlignment="1">
      <alignment horizontal="center" vertical="center"/>
    </xf>
    <xf numFmtId="17" fontId="7" fillId="11" borderId="9" xfId="0" applyNumberFormat="1" applyFont="1" applyFill="1" applyBorder="1" applyAlignment="1">
      <alignment horizontal="center" vertical="center"/>
    </xf>
    <xf numFmtId="17" fontId="18" fillId="10" borderId="9" xfId="0" applyNumberFormat="1" applyFont="1" applyFill="1" applyBorder="1" applyAlignment="1">
      <alignment horizontal="center" vertical="center"/>
    </xf>
    <xf numFmtId="17" fontId="7" fillId="12" borderId="9" xfId="0" applyNumberFormat="1" applyFont="1" applyFill="1" applyBorder="1" applyAlignment="1">
      <alignment horizontal="center" vertical="center"/>
    </xf>
    <xf numFmtId="17" fontId="18" fillId="13" borderId="9" xfId="0" applyNumberFormat="1" applyFont="1" applyFill="1" applyBorder="1" applyAlignment="1">
      <alignment horizontal="center" vertical="center"/>
    </xf>
    <xf numFmtId="17" fontId="7" fillId="14" borderId="9" xfId="0" applyNumberFormat="1" applyFont="1" applyFill="1" applyBorder="1" applyAlignment="1">
      <alignment horizontal="center" vertical="center"/>
    </xf>
    <xf numFmtId="17" fontId="18" fillId="15" borderId="10" xfId="0" applyNumberFormat="1" applyFont="1" applyFill="1" applyBorder="1" applyAlignment="1">
      <alignment horizontal="center" vertical="center"/>
    </xf>
    <xf numFmtId="0" fontId="18" fillId="26" borderId="26" xfId="0" applyFont="1" applyFill="1" applyBorder="1"/>
    <xf numFmtId="0" fontId="18" fillId="26" borderId="26" xfId="0" applyFont="1" applyFill="1" applyBorder="1" applyAlignment="1">
      <alignment horizontal="center" vertical="center"/>
    </xf>
    <xf numFmtId="0" fontId="28" fillId="26" borderId="26" xfId="0" applyFont="1" applyFill="1" applyBorder="1"/>
    <xf numFmtId="0" fontId="20" fillId="7" borderId="41" xfId="0" applyFont="1" applyFill="1" applyBorder="1" applyAlignment="1">
      <alignment horizontal="center"/>
    </xf>
    <xf numFmtId="0" fontId="20" fillId="7" borderId="42" xfId="0" applyFont="1" applyFill="1" applyBorder="1" applyAlignment="1">
      <alignment horizontal="center"/>
    </xf>
    <xf numFmtId="17" fontId="7" fillId="4" borderId="2" xfId="0" applyNumberFormat="1" applyFont="1" applyFill="1" applyBorder="1" applyAlignment="1">
      <alignment horizontal="center"/>
    </xf>
    <xf numFmtId="17" fontId="16" fillId="5" borderId="2" xfId="0" applyNumberFormat="1" applyFont="1" applyFill="1" applyBorder="1" applyAlignment="1">
      <alignment horizontal="center"/>
    </xf>
    <xf numFmtId="17" fontId="6" fillId="8" borderId="2" xfId="0" applyNumberFormat="1" applyFont="1" applyFill="1" applyBorder="1" applyAlignment="1">
      <alignment horizontal="center"/>
    </xf>
    <xf numFmtId="17" fontId="16" fillId="6" borderId="2" xfId="0" applyNumberFormat="1" applyFont="1" applyFill="1" applyBorder="1" applyAlignment="1">
      <alignment horizontal="center"/>
    </xf>
    <xf numFmtId="17" fontId="6" fillId="9" borderId="2" xfId="0" applyNumberFormat="1" applyFont="1" applyFill="1" applyBorder="1" applyAlignment="1">
      <alignment horizontal="center"/>
    </xf>
    <xf numFmtId="17" fontId="16" fillId="7" borderId="2" xfId="0" applyNumberFormat="1" applyFont="1" applyFill="1" applyBorder="1" applyAlignment="1">
      <alignment horizontal="center"/>
    </xf>
    <xf numFmtId="17" fontId="6" fillId="11" borderId="2" xfId="0" applyNumberFormat="1" applyFont="1" applyFill="1" applyBorder="1" applyAlignment="1">
      <alignment horizontal="center"/>
    </xf>
    <xf numFmtId="17" fontId="16" fillId="10" borderId="2" xfId="0" applyNumberFormat="1" applyFont="1" applyFill="1" applyBorder="1" applyAlignment="1">
      <alignment horizontal="center"/>
    </xf>
    <xf numFmtId="17" fontId="7" fillId="12" borderId="2" xfId="0" applyNumberFormat="1" applyFont="1" applyFill="1" applyBorder="1" applyAlignment="1">
      <alignment horizontal="center"/>
    </xf>
    <xf numFmtId="17" fontId="16" fillId="13" borderId="2" xfId="0" applyNumberFormat="1" applyFont="1" applyFill="1" applyBorder="1" applyAlignment="1">
      <alignment horizontal="center"/>
    </xf>
    <xf numFmtId="17" fontId="6" fillId="14" borderId="2" xfId="0" applyNumberFormat="1" applyFont="1" applyFill="1" applyBorder="1" applyAlignment="1">
      <alignment horizontal="center"/>
    </xf>
    <xf numFmtId="17" fontId="16" fillId="15" borderId="3" xfId="0" applyNumberFormat="1" applyFont="1" applyFill="1" applyBorder="1" applyAlignment="1">
      <alignment horizontal="center"/>
    </xf>
    <xf numFmtId="0" fontId="20" fillId="7" borderId="3" xfId="0" applyFont="1" applyFill="1" applyBorder="1" applyAlignment="1">
      <alignment horizontal="center"/>
    </xf>
    <xf numFmtId="0" fontId="20" fillId="7" borderId="6" xfId="0" applyFont="1" applyFill="1" applyBorder="1" applyAlignment="1">
      <alignment horizontal="center"/>
    </xf>
    <xf numFmtId="0" fontId="18" fillId="15" borderId="43" xfId="0" applyFont="1" applyFill="1" applyBorder="1" applyAlignment="1">
      <alignment horizontal="center" vertical="center" wrapText="1"/>
    </xf>
    <xf numFmtId="165" fontId="20" fillId="27" borderId="6" xfId="0" applyNumberFormat="1" applyFont="1" applyFill="1" applyBorder="1" applyAlignment="1">
      <alignment horizontal="center" vertical="center"/>
    </xf>
    <xf numFmtId="164" fontId="20" fillId="27" borderId="6" xfId="1" applyNumberFormat="1" applyFont="1" applyFill="1" applyBorder="1" applyAlignment="1">
      <alignment horizontal="center" vertical="center"/>
    </xf>
    <xf numFmtId="0" fontId="3" fillId="27" borderId="0" xfId="0" applyFont="1" applyFill="1" applyAlignment="1">
      <alignment horizontal="center"/>
    </xf>
    <xf numFmtId="164" fontId="20" fillId="25" borderId="15" xfId="1" applyNumberFormat="1" applyFont="1" applyFill="1" applyBorder="1" applyAlignment="1">
      <alignment horizontal="center" vertical="center"/>
    </xf>
    <xf numFmtId="164" fontId="20" fillId="25" borderId="6" xfId="1" applyNumberFormat="1" applyFont="1" applyFill="1" applyBorder="1" applyAlignment="1">
      <alignment horizontal="center" vertical="center"/>
    </xf>
    <xf numFmtId="165" fontId="20" fillId="25" borderId="6" xfId="0" applyNumberFormat="1" applyFont="1" applyFill="1" applyBorder="1" applyAlignment="1">
      <alignment horizontal="center" vertical="center"/>
    </xf>
    <xf numFmtId="0" fontId="18" fillId="25" borderId="43" xfId="0" applyFont="1" applyFill="1" applyBorder="1" applyAlignment="1">
      <alignment horizontal="center" vertical="center"/>
    </xf>
    <xf numFmtId="0" fontId="5" fillId="28" borderId="0" xfId="0" applyFont="1" applyFill="1"/>
    <xf numFmtId="164" fontId="0" fillId="28" borderId="0" xfId="1" applyNumberFormat="1" applyFont="1" applyFill="1" applyAlignment="1">
      <alignment horizontal="center"/>
    </xf>
    <xf numFmtId="0" fontId="0" fillId="28" borderId="0" xfId="0" applyFont="1" applyFill="1" applyAlignment="1">
      <alignment horizontal="center"/>
    </xf>
    <xf numFmtId="0" fontId="0" fillId="28" borderId="0" xfId="0" applyFont="1" applyFill="1"/>
    <xf numFmtId="164" fontId="0" fillId="28" borderId="0" xfId="0" applyNumberFormat="1" applyFont="1" applyFill="1" applyAlignment="1">
      <alignment horizontal="center"/>
    </xf>
    <xf numFmtId="0" fontId="20" fillId="29" borderId="0" xfId="0" applyFont="1" applyFill="1"/>
    <xf numFmtId="14" fontId="16" fillId="20" borderId="6" xfId="0" applyNumberFormat="1" applyFont="1" applyFill="1" applyBorder="1" applyAlignment="1">
      <alignment horizontal="center" vertical="center"/>
    </xf>
    <xf numFmtId="14" fontId="16" fillId="20" borderId="0" xfId="0" applyNumberFormat="1" applyFont="1" applyFill="1" applyAlignment="1">
      <alignment horizontal="center" vertical="center"/>
    </xf>
    <xf numFmtId="14" fontId="46" fillId="20" borderId="6" xfId="0" applyNumberFormat="1" applyFont="1" applyFill="1" applyBorder="1" applyAlignment="1">
      <alignment horizontal="center" vertical="center"/>
    </xf>
    <xf numFmtId="14" fontId="3" fillId="20" borderId="0" xfId="0" applyNumberFormat="1" applyFont="1" applyFill="1"/>
    <xf numFmtId="1" fontId="16" fillId="30" borderId="6" xfId="0" applyNumberFormat="1" applyFont="1" applyFill="1" applyBorder="1" applyAlignment="1">
      <alignment horizontal="center" vertical="center" wrapText="1"/>
    </xf>
    <xf numFmtId="0" fontId="42" fillId="30" borderId="6" xfId="0" applyFont="1" applyFill="1" applyBorder="1" applyAlignment="1">
      <alignment horizontal="left" vertical="center" wrapText="1"/>
    </xf>
    <xf numFmtId="14" fontId="16" fillId="30" borderId="6" xfId="0" applyNumberFormat="1" applyFont="1" applyFill="1" applyBorder="1" applyAlignment="1">
      <alignment horizontal="center" vertical="center"/>
    </xf>
    <xf numFmtId="0" fontId="16" fillId="30" borderId="6" xfId="0" applyFont="1" applyFill="1" applyBorder="1" applyAlignment="1">
      <alignment horizontal="center" vertical="center" wrapText="1"/>
    </xf>
    <xf numFmtId="0" fontId="16" fillId="30" borderId="6" xfId="0" applyFont="1" applyFill="1" applyBorder="1" applyAlignment="1">
      <alignment horizontal="center" vertical="center"/>
    </xf>
    <xf numFmtId="0" fontId="44" fillId="30" borderId="6" xfId="2" applyFont="1" applyFill="1" applyBorder="1" applyAlignment="1">
      <alignment horizontal="center" vertical="center" wrapText="1"/>
    </xf>
    <xf numFmtId="0" fontId="23" fillId="23" borderId="0" xfId="2" applyFont="1" applyFill="1" applyAlignment="1">
      <alignment horizontal="center" vertical="center"/>
    </xf>
    <xf numFmtId="14" fontId="47" fillId="0" borderId="6" xfId="0" applyNumberFormat="1" applyFont="1" applyBorder="1" applyAlignment="1">
      <alignment horizontal="center" vertical="center"/>
    </xf>
    <xf numFmtId="0" fontId="0" fillId="0" borderId="6" xfId="0" applyBorder="1" applyAlignment="1">
      <alignment horizontal="center" vertical="center" wrapText="1"/>
    </xf>
    <xf numFmtId="0" fontId="0" fillId="0" borderId="6" xfId="0" applyBorder="1" applyAlignment="1">
      <alignment horizontal="left" vertical="center" wrapText="1"/>
    </xf>
    <xf numFmtId="0" fontId="0" fillId="2" borderId="6" xfId="0" applyFill="1" applyBorder="1" applyAlignment="1">
      <alignment horizontal="center" vertical="center"/>
    </xf>
    <xf numFmtId="14" fontId="47" fillId="2" borderId="6" xfId="0" applyNumberFormat="1" applyFont="1" applyFill="1" applyBorder="1" applyAlignment="1">
      <alignment horizontal="center" vertical="center"/>
    </xf>
    <xf numFmtId="0" fontId="0" fillId="2" borderId="6" xfId="0" applyFont="1" applyFill="1" applyBorder="1" applyAlignment="1">
      <alignment horizontal="left" vertical="center" wrapText="1"/>
    </xf>
    <xf numFmtId="14" fontId="41" fillId="2" borderId="6" xfId="0" applyNumberFormat="1" applyFont="1" applyFill="1" applyBorder="1" applyAlignment="1">
      <alignment horizontal="center" vertical="center"/>
    </xf>
    <xf numFmtId="0" fontId="0" fillId="2" borderId="6" xfId="0" applyFill="1" applyBorder="1" applyAlignment="1">
      <alignment horizontal="center" vertical="center" wrapText="1"/>
    </xf>
    <xf numFmtId="0" fontId="0" fillId="2" borderId="6" xfId="0" applyFont="1" applyFill="1" applyBorder="1" applyAlignment="1">
      <alignment horizontal="center" vertical="center" wrapText="1"/>
    </xf>
    <xf numFmtId="0" fontId="18" fillId="7" borderId="0" xfId="2" applyFont="1" applyFill="1" applyBorder="1" applyAlignment="1">
      <alignment horizontal="center"/>
    </xf>
    <xf numFmtId="0" fontId="4" fillId="2" borderId="0" xfId="0" applyFont="1" applyFill="1" applyBorder="1" applyAlignment="1">
      <alignment horizontal="center"/>
    </xf>
    <xf numFmtId="0" fontId="17" fillId="0" borderId="2" xfId="0" applyFont="1" applyBorder="1" applyAlignment="1">
      <alignment horizontal="center" vertical="center"/>
    </xf>
    <xf numFmtId="0" fontId="17" fillId="0" borderId="0" xfId="0" applyFont="1" applyBorder="1" applyAlignment="1">
      <alignment horizontal="center" vertical="center"/>
    </xf>
    <xf numFmtId="0" fontId="23" fillId="15" borderId="0" xfId="0" applyFont="1" applyFill="1" applyAlignment="1">
      <alignment horizontal="center" vertical="center"/>
    </xf>
    <xf numFmtId="0" fontId="23" fillId="15" borderId="7" xfId="0" applyFont="1" applyFill="1" applyBorder="1" applyAlignment="1">
      <alignment horizontal="center" vertical="center"/>
    </xf>
    <xf numFmtId="0" fontId="23" fillId="21" borderId="0" xfId="2" applyFont="1" applyFill="1" applyAlignment="1">
      <alignment horizontal="center" vertical="center"/>
    </xf>
  </cellXfs>
  <cellStyles count="3">
    <cellStyle name="Hyperlink" xfId="2" builtinId="8"/>
    <cellStyle name="Normal" xfId="0" builtinId="0"/>
    <cellStyle name="Per cent" xfId="1" builtinId="5"/>
  </cellStyles>
  <dxfs count="32">
    <dxf>
      <font>
        <b/>
        <i/>
      </font>
      <fill>
        <patternFill>
          <bgColor rgb="FFFEBEC4"/>
        </patternFill>
      </fill>
    </dxf>
    <dxf>
      <fill>
        <patternFill>
          <bgColor rgb="FFC6E0B6"/>
        </patternFill>
      </fill>
    </dxf>
    <dxf>
      <font>
        <b/>
        <i/>
      </font>
      <fill>
        <patternFill>
          <bgColor rgb="FFFEBEC4"/>
        </patternFill>
      </fill>
    </dxf>
    <dxf>
      <fill>
        <patternFill>
          <bgColor rgb="FFC6E0B6"/>
        </patternFill>
      </fill>
    </dxf>
    <dxf>
      <font>
        <b/>
        <i/>
      </font>
      <fill>
        <patternFill>
          <bgColor rgb="FFFEBEC4"/>
        </patternFill>
      </fill>
    </dxf>
    <dxf>
      <fill>
        <patternFill>
          <bgColor rgb="FFC6E0B6"/>
        </patternFill>
      </fill>
    </dxf>
    <dxf>
      <font>
        <b/>
        <i/>
      </font>
      <fill>
        <patternFill>
          <bgColor rgb="FFFEBEC4"/>
        </patternFill>
      </fill>
    </dxf>
    <dxf>
      <fill>
        <patternFill>
          <bgColor rgb="FFC6E0B6"/>
        </patternFill>
      </fill>
    </dxf>
    <dxf>
      <font>
        <b/>
        <i/>
      </font>
      <fill>
        <patternFill>
          <bgColor rgb="FFFEBEC4"/>
        </patternFill>
      </fill>
    </dxf>
    <dxf>
      <fill>
        <patternFill>
          <bgColor rgb="FFC6E0B6"/>
        </patternFill>
      </fill>
    </dxf>
    <dxf>
      <font>
        <b/>
        <i/>
      </font>
      <fill>
        <patternFill>
          <bgColor rgb="FFFEBEC4"/>
        </patternFill>
      </fill>
    </dxf>
    <dxf>
      <fill>
        <patternFill>
          <bgColor rgb="FFC6E0B6"/>
        </patternFill>
      </fill>
    </dxf>
    <dxf>
      <font>
        <b/>
        <i/>
      </font>
      <fill>
        <patternFill>
          <bgColor rgb="FFFEBEC4"/>
        </patternFill>
      </fill>
    </dxf>
    <dxf>
      <fill>
        <patternFill>
          <bgColor rgb="FFC6E0B6"/>
        </patternFill>
      </fill>
    </dxf>
    <dxf>
      <font>
        <b/>
        <i/>
      </font>
      <fill>
        <patternFill>
          <bgColor rgb="FFFEBEC4"/>
        </patternFill>
      </fill>
    </dxf>
    <dxf>
      <fill>
        <patternFill>
          <bgColor rgb="FFC6E0B6"/>
        </patternFill>
      </fill>
    </dxf>
    <dxf>
      <font>
        <b/>
        <i/>
      </font>
      <fill>
        <patternFill>
          <bgColor rgb="FFFEBEC4"/>
        </patternFill>
      </fill>
    </dxf>
    <dxf>
      <fill>
        <patternFill>
          <bgColor rgb="FFC6E0B6"/>
        </patternFill>
      </fill>
    </dxf>
    <dxf>
      <font>
        <b/>
        <i/>
      </font>
      <fill>
        <patternFill>
          <bgColor rgb="FFFEBEC4"/>
        </patternFill>
      </fill>
    </dxf>
    <dxf>
      <fill>
        <patternFill>
          <bgColor rgb="FFC6E0B6"/>
        </patternFill>
      </fill>
    </dxf>
    <dxf>
      <font>
        <b/>
        <i/>
      </font>
      <fill>
        <patternFill>
          <bgColor rgb="FFFEBEC4"/>
        </patternFill>
      </fill>
    </dxf>
    <dxf>
      <fill>
        <patternFill>
          <bgColor rgb="FFC6E0B6"/>
        </patternFill>
      </fill>
    </dxf>
    <dxf>
      <font>
        <b/>
        <i/>
      </font>
      <fill>
        <patternFill>
          <bgColor rgb="FFFEBEC4"/>
        </patternFill>
      </fill>
    </dxf>
    <dxf>
      <fill>
        <patternFill>
          <bgColor rgb="FFC6E0B6"/>
        </patternFill>
      </fill>
    </dxf>
    <dxf>
      <font>
        <b/>
        <i/>
      </font>
      <fill>
        <patternFill>
          <bgColor rgb="FFFEBEC4"/>
        </patternFill>
      </fill>
    </dxf>
    <dxf>
      <fill>
        <patternFill>
          <bgColor rgb="FFC6E0B6"/>
        </patternFill>
      </fill>
    </dxf>
    <dxf>
      <font>
        <b/>
        <i/>
      </font>
      <fill>
        <patternFill>
          <bgColor rgb="FFFEBEC4"/>
        </patternFill>
      </fill>
    </dxf>
    <dxf>
      <fill>
        <patternFill>
          <bgColor rgb="FFC6E0B6"/>
        </patternFill>
      </fill>
    </dxf>
    <dxf>
      <font>
        <b/>
        <i/>
      </font>
      <fill>
        <patternFill>
          <bgColor rgb="FFFEBEC4"/>
        </patternFill>
      </fill>
    </dxf>
    <dxf>
      <fill>
        <patternFill>
          <bgColor rgb="FFC6E0B6"/>
        </patternFill>
      </fill>
    </dxf>
    <dxf>
      <fill>
        <patternFill>
          <bgColor rgb="FFFF0000"/>
        </patternFill>
      </fill>
    </dxf>
    <dxf>
      <fill>
        <patternFill>
          <bgColor rgb="FF92D050"/>
        </patternFill>
      </fill>
    </dxf>
  </dxfs>
  <tableStyles count="0" defaultTableStyle="TableStyleMedium2" defaultPivotStyle="PivotStyleLight16"/>
  <colors>
    <mruColors>
      <color rgb="FF941100"/>
      <color rgb="FFFF2F92"/>
      <color rgb="FF00FA00"/>
      <color rgb="FFFF2600"/>
      <color rgb="FFEB51FF"/>
      <color rgb="FFFF6699"/>
      <color rgb="FFFEBEC4"/>
      <color rgb="FF941651"/>
      <color rgb="FFC6E0B6"/>
      <color rgb="FFFFC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rgbClr val="C00000"/>
                </a:solidFill>
                <a:latin typeface="+mn-lt"/>
                <a:ea typeface="+mn-ea"/>
                <a:cs typeface="+mn-cs"/>
              </a:defRPr>
            </a:pPr>
            <a:r>
              <a:rPr lang="en-US"/>
              <a:t>Perinatal Mortality Rate (iPMR) per 1000 Total Births</a:t>
            </a:r>
          </a:p>
        </c:rich>
      </c:tx>
      <c:overlay val="0"/>
      <c:spPr>
        <a:noFill/>
        <a:ln>
          <a:noFill/>
        </a:ln>
        <a:effectLst/>
      </c:spPr>
    </c:title>
    <c:autoTitleDeleted val="0"/>
    <c:plotArea>
      <c:layout/>
      <c:barChart>
        <c:barDir val="col"/>
        <c:grouping val="clustered"/>
        <c:varyColors val="0"/>
        <c:ser>
          <c:idx val="2"/>
          <c:order val="0"/>
          <c:tx>
            <c:strRef>
              <c:f>Indicators!$B$5</c:f>
              <c:strCache>
                <c:ptCount val="1"/>
                <c:pt idx="0">
                  <c:v>Perinatal Mortality Rate (iPMR)</c:v>
                </c:pt>
              </c:strCache>
            </c:strRef>
          </c:tx>
          <c:spPr>
            <a:pattFill prst="lgCheck">
              <a:fgClr>
                <a:srgbClr val="002060"/>
              </a:fgClr>
              <a:bgClr>
                <a:schemeClr val="bg1"/>
              </a:bgClr>
            </a:pattFill>
            <a:ln>
              <a:solidFill>
                <a:srgbClr val="C00000"/>
              </a:solidFill>
            </a:ln>
            <a:effectLst/>
          </c:spPr>
          <c:invertIfNegative val="0"/>
          <c:dPt>
            <c:idx val="0"/>
            <c:invertIfNegative val="0"/>
            <c:bubble3D val="0"/>
            <c:spPr>
              <a:pattFill prst="lgCheck">
                <a:fgClr>
                  <a:srgbClr val="FF2F92"/>
                </a:fgClr>
                <a:bgClr>
                  <a:schemeClr val="bg1"/>
                </a:bgClr>
              </a:pattFill>
              <a:ln>
                <a:solidFill>
                  <a:srgbClr val="C00000"/>
                </a:solidFill>
              </a:ln>
              <a:effectLst/>
            </c:spPr>
            <c:extLst>
              <c:ext xmlns:c16="http://schemas.microsoft.com/office/drawing/2014/chart" uri="{C3380CC4-5D6E-409C-BE32-E72D297353CC}">
                <c16:uniqueId val="{00000002-9DFC-1642-8BFC-0AF4D3D624CC}"/>
              </c:ext>
            </c:extLst>
          </c:dPt>
          <c:dPt>
            <c:idx val="13"/>
            <c:invertIfNegative val="0"/>
            <c:bubble3D val="0"/>
            <c:spPr>
              <a:pattFill prst="lgCheck">
                <a:fgClr>
                  <a:srgbClr val="00FA00"/>
                </a:fgClr>
                <a:bgClr>
                  <a:schemeClr val="bg1"/>
                </a:bgClr>
              </a:pattFill>
              <a:ln>
                <a:solidFill>
                  <a:srgbClr val="C00000"/>
                </a:solidFill>
              </a:ln>
              <a:effectLst/>
            </c:spPr>
            <c:extLst>
              <c:ext xmlns:c16="http://schemas.microsoft.com/office/drawing/2014/chart" uri="{C3380CC4-5D6E-409C-BE32-E72D297353CC}">
                <c16:uniqueId val="{00000000-9DFC-1642-8BFC-0AF4D3D624CC}"/>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Indicators!$C$1:$AB$1</c:f>
              <c:strCache>
                <c:ptCount val="26"/>
                <c:pt idx="0">
                  <c:v>Overall average</c:v>
                </c:pt>
                <c:pt idx="1">
                  <c:v>Jan-19</c:v>
                </c:pt>
                <c:pt idx="2">
                  <c:v>Feb-19</c:v>
                </c:pt>
                <c:pt idx="3">
                  <c:v>Mar-19</c:v>
                </c:pt>
                <c:pt idx="4">
                  <c:v>Apr-19</c:v>
                </c:pt>
                <c:pt idx="5">
                  <c:v>May-19</c:v>
                </c:pt>
                <c:pt idx="6">
                  <c:v>Jun-19</c:v>
                </c:pt>
                <c:pt idx="7">
                  <c:v>Jul-19</c:v>
                </c:pt>
                <c:pt idx="8">
                  <c:v>Aug-19</c:v>
                </c:pt>
                <c:pt idx="9">
                  <c:v>Sep-19</c:v>
                </c:pt>
                <c:pt idx="10">
                  <c:v>Oct-19</c:v>
                </c:pt>
                <c:pt idx="11">
                  <c:v>Nov-19</c:v>
                </c:pt>
                <c:pt idx="12">
                  <c:v>Dec-19</c:v>
                </c:pt>
                <c:pt idx="13">
                  <c:v>2020 average</c:v>
                </c:pt>
                <c:pt idx="14">
                  <c:v>Jan-20</c:v>
                </c:pt>
                <c:pt idx="15">
                  <c:v>Feb-20</c:v>
                </c:pt>
                <c:pt idx="16">
                  <c:v>Mar-20</c:v>
                </c:pt>
                <c:pt idx="17">
                  <c:v>Apr-20</c:v>
                </c:pt>
                <c:pt idx="18">
                  <c:v>May-20</c:v>
                </c:pt>
                <c:pt idx="19">
                  <c:v>Jun-20</c:v>
                </c:pt>
                <c:pt idx="20">
                  <c:v>Jul-20</c:v>
                </c:pt>
                <c:pt idx="21">
                  <c:v>Aug-20</c:v>
                </c:pt>
                <c:pt idx="22">
                  <c:v>Sep-20</c:v>
                </c:pt>
                <c:pt idx="23">
                  <c:v>Oct-20</c:v>
                </c:pt>
                <c:pt idx="24">
                  <c:v>Nov-20</c:v>
                </c:pt>
                <c:pt idx="25">
                  <c:v>Dec-20</c:v>
                </c:pt>
              </c:strCache>
            </c:strRef>
          </c:cat>
          <c:val>
            <c:numRef>
              <c:f>Indicators!$C$5:$AB$5</c:f>
              <c:numCache>
                <c:formatCode>0.0</c:formatCode>
                <c:ptCount val="26"/>
                <c:pt idx="0">
                  <c:v>30.946383591219863</c:v>
                </c:pt>
                <c:pt idx="1">
                  <c:v>24.608501118568235</c:v>
                </c:pt>
                <c:pt idx="2">
                  <c:v>41.666666666666664</c:v>
                </c:pt>
                <c:pt idx="3">
                  <c:v>35.555555555555557</c:v>
                </c:pt>
                <c:pt idx="4">
                  <c:v>26.19047619047619</c:v>
                </c:pt>
                <c:pt idx="5">
                  <c:v>29.787234042553195</c:v>
                </c:pt>
                <c:pt idx="6">
                  <c:v>18.604651162790699</c:v>
                </c:pt>
                <c:pt idx="7">
                  <c:v>18.433179723502302</c:v>
                </c:pt>
                <c:pt idx="8">
                  <c:v>33.333333333333336</c:v>
                </c:pt>
                <c:pt idx="9">
                  <c:v>14.861995753715499</c:v>
                </c:pt>
                <c:pt idx="10">
                  <c:v>39.603960396039604</c:v>
                </c:pt>
                <c:pt idx="11">
                  <c:v>33.505154639175259</c:v>
                </c:pt>
                <c:pt idx="12">
                  <c:v>41.666666666666664</c:v>
                </c:pt>
                <c:pt idx="13">
                  <c:v>33.260801989431151</c:v>
                </c:pt>
                <c:pt idx="14">
                  <c:v>28.138528138528141</c:v>
                </c:pt>
                <c:pt idx="15">
                  <c:v>27.237354085603112</c:v>
                </c:pt>
                <c:pt idx="16">
                  <c:v>31.25</c:v>
                </c:pt>
                <c:pt idx="17">
                  <c:v>32.967032967032971</c:v>
                </c:pt>
                <c:pt idx="18">
                  <c:v>29.850746268656717</c:v>
                </c:pt>
                <c:pt idx="19">
                  <c:v>48.275862068965516</c:v>
                </c:pt>
                <c:pt idx="20">
                  <c:v>0</c:v>
                </c:pt>
                <c:pt idx="21">
                  <c:v>0</c:v>
                </c:pt>
                <c:pt idx="22">
                  <c:v>0</c:v>
                </c:pt>
                <c:pt idx="23">
                  <c:v>0</c:v>
                </c:pt>
                <c:pt idx="24">
                  <c:v>0</c:v>
                </c:pt>
                <c:pt idx="25">
                  <c:v>0</c:v>
                </c:pt>
              </c:numCache>
            </c:numRef>
          </c:val>
          <c:extLst>
            <c:ext xmlns:c16="http://schemas.microsoft.com/office/drawing/2014/chart" uri="{C3380CC4-5D6E-409C-BE32-E72D297353CC}">
              <c16:uniqueId val="{00000000-39E4-D849-8882-C83D5C9323C3}"/>
            </c:ext>
          </c:extLst>
        </c:ser>
        <c:dLbls>
          <c:showLegendKey val="0"/>
          <c:showVal val="0"/>
          <c:showCatName val="0"/>
          <c:showSerName val="0"/>
          <c:showPercent val="0"/>
          <c:showBubbleSize val="0"/>
        </c:dLbls>
        <c:gapWidth val="89"/>
        <c:overlap val="-27"/>
        <c:axId val="28600960"/>
        <c:axId val="28615040"/>
      </c:barChart>
      <c:catAx>
        <c:axId val="2860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28615040"/>
        <c:crosses val="autoZero"/>
        <c:auto val="1"/>
        <c:lblAlgn val="ctr"/>
        <c:lblOffset val="100"/>
        <c:noMultiLvlLbl val="0"/>
      </c:catAx>
      <c:valAx>
        <c:axId val="286150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28600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rgbClr val="941100"/>
                </a:solidFill>
                <a:latin typeface="+mn-lt"/>
                <a:ea typeface="+mn-ea"/>
                <a:cs typeface="+mn-cs"/>
              </a:defRPr>
            </a:pPr>
            <a:r>
              <a:rPr lang="en-US" sz="1600" b="1">
                <a:solidFill>
                  <a:srgbClr val="941100"/>
                </a:solidFill>
              </a:rPr>
              <a:t>Institutional Neonatal Mortality Rate (iNMR)</a:t>
            </a:r>
          </a:p>
        </c:rich>
      </c:tx>
      <c:overlay val="0"/>
      <c:spPr>
        <a:noFill/>
        <a:ln>
          <a:noFill/>
        </a:ln>
        <a:effectLst/>
      </c:spPr>
    </c:title>
    <c:autoTitleDeleted val="0"/>
    <c:plotArea>
      <c:layout/>
      <c:barChart>
        <c:barDir val="col"/>
        <c:grouping val="clustered"/>
        <c:varyColors val="0"/>
        <c:ser>
          <c:idx val="4"/>
          <c:order val="0"/>
          <c:tx>
            <c:strRef>
              <c:f>Indicators!$B$6</c:f>
              <c:strCache>
                <c:ptCount val="1"/>
                <c:pt idx="0">
                  <c:v>Neonatal Mortality Rate (iNMR)</c:v>
                </c:pt>
              </c:strCache>
            </c:strRef>
          </c:tx>
          <c:spPr>
            <a:solidFill>
              <a:srgbClr val="00B0F0"/>
            </a:solidFill>
            <a:ln w="19050">
              <a:solidFill>
                <a:srgbClr val="941100"/>
              </a:solidFill>
            </a:ln>
            <a:effectLst/>
          </c:spPr>
          <c:invertIfNegative val="0"/>
          <c:dPt>
            <c:idx val="0"/>
            <c:invertIfNegative val="0"/>
            <c:bubble3D val="0"/>
            <c:spPr>
              <a:solidFill>
                <a:srgbClr val="FF2F92"/>
              </a:solidFill>
              <a:ln w="19050">
                <a:solidFill>
                  <a:srgbClr val="941100"/>
                </a:solidFill>
              </a:ln>
              <a:effectLst/>
            </c:spPr>
            <c:extLst>
              <c:ext xmlns:c16="http://schemas.microsoft.com/office/drawing/2014/chart" uri="{C3380CC4-5D6E-409C-BE32-E72D297353CC}">
                <c16:uniqueId val="{00000002-88CD-6B43-90F1-E1A07F2F780B}"/>
              </c:ext>
            </c:extLst>
          </c:dPt>
          <c:dPt>
            <c:idx val="13"/>
            <c:invertIfNegative val="0"/>
            <c:bubble3D val="0"/>
            <c:spPr>
              <a:solidFill>
                <a:srgbClr val="00FA00"/>
              </a:solidFill>
              <a:ln w="19050">
                <a:solidFill>
                  <a:srgbClr val="941100"/>
                </a:solidFill>
              </a:ln>
              <a:effectLst/>
            </c:spPr>
            <c:extLst>
              <c:ext xmlns:c16="http://schemas.microsoft.com/office/drawing/2014/chart" uri="{C3380CC4-5D6E-409C-BE32-E72D297353CC}">
                <c16:uniqueId val="{00000001-88CD-6B43-90F1-E1A07F2F780B}"/>
              </c:ext>
            </c:extLst>
          </c:dPt>
          <c:dLbls>
            <c:dLbl>
              <c:idx val="13"/>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88CD-6B43-90F1-E1A07F2F780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Indicators!$C$1:$AB$1</c:f>
              <c:strCache>
                <c:ptCount val="26"/>
                <c:pt idx="0">
                  <c:v>Overall average</c:v>
                </c:pt>
                <c:pt idx="1">
                  <c:v>Jan-19</c:v>
                </c:pt>
                <c:pt idx="2">
                  <c:v>Feb-19</c:v>
                </c:pt>
                <c:pt idx="3">
                  <c:v>Mar-19</c:v>
                </c:pt>
                <c:pt idx="4">
                  <c:v>Apr-19</c:v>
                </c:pt>
                <c:pt idx="5">
                  <c:v>May-19</c:v>
                </c:pt>
                <c:pt idx="6">
                  <c:v>Jun-19</c:v>
                </c:pt>
                <c:pt idx="7">
                  <c:v>Jul-19</c:v>
                </c:pt>
                <c:pt idx="8">
                  <c:v>Aug-19</c:v>
                </c:pt>
                <c:pt idx="9">
                  <c:v>Sep-19</c:v>
                </c:pt>
                <c:pt idx="10">
                  <c:v>Oct-19</c:v>
                </c:pt>
                <c:pt idx="11">
                  <c:v>Nov-19</c:v>
                </c:pt>
                <c:pt idx="12">
                  <c:v>Dec-19</c:v>
                </c:pt>
                <c:pt idx="13">
                  <c:v>2020 average</c:v>
                </c:pt>
                <c:pt idx="14">
                  <c:v>Jan-20</c:v>
                </c:pt>
                <c:pt idx="15">
                  <c:v>Feb-20</c:v>
                </c:pt>
                <c:pt idx="16">
                  <c:v>Mar-20</c:v>
                </c:pt>
                <c:pt idx="17">
                  <c:v>Apr-20</c:v>
                </c:pt>
                <c:pt idx="18">
                  <c:v>May-20</c:v>
                </c:pt>
                <c:pt idx="19">
                  <c:v>Jun-20</c:v>
                </c:pt>
                <c:pt idx="20">
                  <c:v>Jul-20</c:v>
                </c:pt>
                <c:pt idx="21">
                  <c:v>Aug-20</c:v>
                </c:pt>
                <c:pt idx="22">
                  <c:v>Sep-20</c:v>
                </c:pt>
                <c:pt idx="23">
                  <c:v>Oct-20</c:v>
                </c:pt>
                <c:pt idx="24">
                  <c:v>Nov-20</c:v>
                </c:pt>
                <c:pt idx="25">
                  <c:v>Dec-20</c:v>
                </c:pt>
              </c:strCache>
            </c:strRef>
          </c:cat>
          <c:val>
            <c:numRef>
              <c:f>Indicators!$C$6:$AB$6</c:f>
              <c:numCache>
                <c:formatCode>0.0</c:formatCode>
                <c:ptCount val="26"/>
                <c:pt idx="0">
                  <c:v>14.585120725579117</c:v>
                </c:pt>
                <c:pt idx="1">
                  <c:v>11.389521640091116</c:v>
                </c:pt>
                <c:pt idx="2">
                  <c:v>18.71657754010695</c:v>
                </c:pt>
                <c:pt idx="3">
                  <c:v>18.140589569160998</c:v>
                </c:pt>
                <c:pt idx="4">
                  <c:v>24.03846153846154</c:v>
                </c:pt>
                <c:pt idx="5">
                  <c:v>10.845986984815617</c:v>
                </c:pt>
                <c:pt idx="6">
                  <c:v>11.76470588235294</c:v>
                </c:pt>
                <c:pt idx="7">
                  <c:v>4.6728971962616823</c:v>
                </c:pt>
                <c:pt idx="8">
                  <c:v>5.2770448548812663</c:v>
                </c:pt>
                <c:pt idx="9">
                  <c:v>2.150537634408602</c:v>
                </c:pt>
                <c:pt idx="10">
                  <c:v>31.496062992125985</c:v>
                </c:pt>
                <c:pt idx="11">
                  <c:v>10.582010582010582</c:v>
                </c:pt>
                <c:pt idx="12">
                  <c:v>21.377672209026127</c:v>
                </c:pt>
                <c:pt idx="13">
                  <c:v>15.550618851158363</c:v>
                </c:pt>
                <c:pt idx="14">
                  <c:v>13.245033112582782</c:v>
                </c:pt>
                <c:pt idx="15">
                  <c:v>13.861386138613861</c:v>
                </c:pt>
                <c:pt idx="16">
                  <c:v>10</c:v>
                </c:pt>
                <c:pt idx="17">
                  <c:v>9.3808630393996264</c:v>
                </c:pt>
                <c:pt idx="18">
                  <c:v>18.487394957983195</c:v>
                </c:pt>
                <c:pt idx="19">
                  <c:v>26.548672566371682</c:v>
                </c:pt>
                <c:pt idx="20">
                  <c:v>0</c:v>
                </c:pt>
                <c:pt idx="21">
                  <c:v>0</c:v>
                </c:pt>
                <c:pt idx="22">
                  <c:v>0</c:v>
                </c:pt>
                <c:pt idx="23">
                  <c:v>0</c:v>
                </c:pt>
                <c:pt idx="24">
                  <c:v>0</c:v>
                </c:pt>
                <c:pt idx="25">
                  <c:v>0</c:v>
                </c:pt>
              </c:numCache>
            </c:numRef>
          </c:val>
          <c:extLst>
            <c:ext xmlns:c16="http://schemas.microsoft.com/office/drawing/2014/chart" uri="{C3380CC4-5D6E-409C-BE32-E72D297353CC}">
              <c16:uniqueId val="{00000000-88CD-6B43-90F1-E1A07F2F780B}"/>
            </c:ext>
          </c:extLst>
        </c:ser>
        <c:dLbls>
          <c:showLegendKey val="0"/>
          <c:showVal val="0"/>
          <c:showCatName val="0"/>
          <c:showSerName val="0"/>
          <c:showPercent val="0"/>
          <c:showBubbleSize val="0"/>
        </c:dLbls>
        <c:gapWidth val="46"/>
        <c:overlap val="-27"/>
        <c:axId val="54717440"/>
        <c:axId val="27923200"/>
      </c:barChart>
      <c:catAx>
        <c:axId val="5471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7923200"/>
        <c:crosses val="autoZero"/>
        <c:auto val="1"/>
        <c:lblAlgn val="ctr"/>
        <c:lblOffset val="100"/>
        <c:noMultiLvlLbl val="0"/>
      </c:catAx>
      <c:valAx>
        <c:axId val="279232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4717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spc="0" baseline="0">
              <a:solidFill>
                <a:srgbClr val="941100"/>
              </a:solidFill>
              <a:latin typeface="+mn-lt"/>
              <a:ea typeface="+mn-ea"/>
              <a:cs typeface="+mn-cs"/>
            </a:defRPr>
          </a:pPr>
          <a:endParaRPr lang="en-US"/>
        </a:p>
      </c:txPr>
    </c:title>
    <c:autoTitleDeleted val="0"/>
    <c:plotArea>
      <c:layout/>
      <c:barChart>
        <c:barDir val="col"/>
        <c:grouping val="clustered"/>
        <c:varyColors val="0"/>
        <c:ser>
          <c:idx val="7"/>
          <c:order val="0"/>
          <c:tx>
            <c:strRef>
              <c:f>Indicators!$B$12</c:f>
              <c:strCache>
                <c:ptCount val="1"/>
                <c:pt idx="0">
                  <c:v>% Neonatal Deaths in 1st week</c:v>
                </c:pt>
              </c:strCache>
            </c:strRef>
          </c:tx>
          <c:spPr>
            <a:pattFill prst="sphere">
              <a:fgClr>
                <a:srgbClr val="00B0F0"/>
              </a:fgClr>
              <a:bgClr>
                <a:schemeClr val="bg1"/>
              </a:bgClr>
            </a:pattFill>
            <a:ln w="19050">
              <a:solidFill>
                <a:srgbClr val="002060"/>
              </a:solidFill>
            </a:ln>
            <a:effectLst/>
          </c:spPr>
          <c:invertIfNegative val="0"/>
          <c:dPt>
            <c:idx val="0"/>
            <c:invertIfNegative val="0"/>
            <c:bubble3D val="0"/>
            <c:spPr>
              <a:pattFill prst="sphere">
                <a:fgClr>
                  <a:srgbClr val="FF2F92"/>
                </a:fgClr>
                <a:bgClr>
                  <a:schemeClr val="bg1"/>
                </a:bgClr>
              </a:pattFill>
              <a:ln w="19050">
                <a:solidFill>
                  <a:srgbClr val="002060"/>
                </a:solidFill>
              </a:ln>
              <a:effectLst/>
            </c:spPr>
            <c:extLst>
              <c:ext xmlns:c16="http://schemas.microsoft.com/office/drawing/2014/chart" uri="{C3380CC4-5D6E-409C-BE32-E72D297353CC}">
                <c16:uniqueId val="{0000000D-01D7-EF4E-9DA5-9D7581961257}"/>
              </c:ext>
            </c:extLst>
          </c:dPt>
          <c:dPt>
            <c:idx val="13"/>
            <c:invertIfNegative val="0"/>
            <c:bubble3D val="0"/>
            <c:spPr>
              <a:pattFill prst="sphere">
                <a:fgClr>
                  <a:srgbClr val="00FA00"/>
                </a:fgClr>
                <a:bgClr>
                  <a:schemeClr val="bg1"/>
                </a:bgClr>
              </a:pattFill>
              <a:ln w="19050">
                <a:solidFill>
                  <a:srgbClr val="002060"/>
                </a:solidFill>
              </a:ln>
              <a:effectLst/>
            </c:spPr>
            <c:extLst>
              <c:ext xmlns:c16="http://schemas.microsoft.com/office/drawing/2014/chart" uri="{C3380CC4-5D6E-409C-BE32-E72D297353CC}">
                <c16:uniqueId val="{0000000B-01D7-EF4E-9DA5-9D7581961257}"/>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Indicators!$C$1:$AB$1</c:f>
              <c:strCache>
                <c:ptCount val="26"/>
                <c:pt idx="0">
                  <c:v>Overall average</c:v>
                </c:pt>
                <c:pt idx="1">
                  <c:v>Jan-19</c:v>
                </c:pt>
                <c:pt idx="2">
                  <c:v>Feb-19</c:v>
                </c:pt>
                <c:pt idx="3">
                  <c:v>Mar-19</c:v>
                </c:pt>
                <c:pt idx="4">
                  <c:v>Apr-19</c:v>
                </c:pt>
                <c:pt idx="5">
                  <c:v>May-19</c:v>
                </c:pt>
                <c:pt idx="6">
                  <c:v>Jun-19</c:v>
                </c:pt>
                <c:pt idx="7">
                  <c:v>Jul-19</c:v>
                </c:pt>
                <c:pt idx="8">
                  <c:v>Aug-19</c:v>
                </c:pt>
                <c:pt idx="9">
                  <c:v>Sep-19</c:v>
                </c:pt>
                <c:pt idx="10">
                  <c:v>Oct-19</c:v>
                </c:pt>
                <c:pt idx="11">
                  <c:v>Nov-19</c:v>
                </c:pt>
                <c:pt idx="12">
                  <c:v>Dec-19</c:v>
                </c:pt>
                <c:pt idx="13">
                  <c:v>2020 average</c:v>
                </c:pt>
                <c:pt idx="14">
                  <c:v>Jan-20</c:v>
                </c:pt>
                <c:pt idx="15">
                  <c:v>Feb-20</c:v>
                </c:pt>
                <c:pt idx="16">
                  <c:v>Mar-20</c:v>
                </c:pt>
                <c:pt idx="17">
                  <c:v>Apr-20</c:v>
                </c:pt>
                <c:pt idx="18">
                  <c:v>May-20</c:v>
                </c:pt>
                <c:pt idx="19">
                  <c:v>Jun-20</c:v>
                </c:pt>
                <c:pt idx="20">
                  <c:v>Jul-20</c:v>
                </c:pt>
                <c:pt idx="21">
                  <c:v>Aug-20</c:v>
                </c:pt>
                <c:pt idx="22">
                  <c:v>Sep-20</c:v>
                </c:pt>
                <c:pt idx="23">
                  <c:v>Oct-20</c:v>
                </c:pt>
                <c:pt idx="24">
                  <c:v>Nov-20</c:v>
                </c:pt>
                <c:pt idx="25">
                  <c:v>Dec-20</c:v>
                </c:pt>
              </c:strCache>
            </c:strRef>
          </c:cat>
          <c:val>
            <c:numRef>
              <c:f>Indicators!$C$12:$AB$12</c:f>
              <c:numCache>
                <c:formatCode>0.0%</c:formatCode>
                <c:ptCount val="26"/>
                <c:pt idx="0">
                  <c:v>0.79831932773109249</c:v>
                </c:pt>
                <c:pt idx="1">
                  <c:v>0.6</c:v>
                </c:pt>
                <c:pt idx="2">
                  <c:v>0.8571428571428571</c:v>
                </c:pt>
                <c:pt idx="3">
                  <c:v>0.625</c:v>
                </c:pt>
                <c:pt idx="4">
                  <c:v>0.7</c:v>
                </c:pt>
                <c:pt idx="5">
                  <c:v>1</c:v>
                </c:pt>
                <c:pt idx="6">
                  <c:v>0.6</c:v>
                </c:pt>
                <c:pt idx="7">
                  <c:v>1</c:v>
                </c:pt>
                <c:pt idx="8">
                  <c:v>1</c:v>
                </c:pt>
                <c:pt idx="9">
                  <c:v>1</c:v>
                </c:pt>
                <c:pt idx="10">
                  <c:v>0.83333333333333337</c:v>
                </c:pt>
                <c:pt idx="11">
                  <c:v>0.75</c:v>
                </c:pt>
                <c:pt idx="12">
                  <c:v>0.77777777777777779</c:v>
                </c:pt>
                <c:pt idx="13">
                  <c:v>0.83673469387755106</c:v>
                </c:pt>
                <c:pt idx="14">
                  <c:v>0.66666666666666663</c:v>
                </c:pt>
                <c:pt idx="15">
                  <c:v>0.7142857142857143</c:v>
                </c:pt>
                <c:pt idx="16">
                  <c:v>0.8</c:v>
                </c:pt>
                <c:pt idx="17">
                  <c:v>1</c:v>
                </c:pt>
                <c:pt idx="18">
                  <c:v>0.90909090909090906</c:v>
                </c:pt>
                <c:pt idx="19">
                  <c:v>0.8666666666666667</c:v>
                </c:pt>
                <c:pt idx="20">
                  <c:v>0</c:v>
                </c:pt>
                <c:pt idx="21">
                  <c:v>0</c:v>
                </c:pt>
                <c:pt idx="22">
                  <c:v>0</c:v>
                </c:pt>
                <c:pt idx="23">
                  <c:v>0</c:v>
                </c:pt>
                <c:pt idx="24">
                  <c:v>0</c:v>
                </c:pt>
                <c:pt idx="25">
                  <c:v>0</c:v>
                </c:pt>
              </c:numCache>
            </c:numRef>
          </c:val>
          <c:extLst>
            <c:ext xmlns:c16="http://schemas.microsoft.com/office/drawing/2014/chart" uri="{C3380CC4-5D6E-409C-BE32-E72D297353CC}">
              <c16:uniqueId val="{0000000A-01D7-EF4E-9DA5-9D7581961257}"/>
            </c:ext>
          </c:extLst>
        </c:ser>
        <c:dLbls>
          <c:showLegendKey val="0"/>
          <c:showVal val="0"/>
          <c:showCatName val="0"/>
          <c:showSerName val="0"/>
          <c:showPercent val="0"/>
          <c:showBubbleSize val="0"/>
        </c:dLbls>
        <c:gapWidth val="40"/>
        <c:overlap val="-27"/>
        <c:axId val="27949696"/>
        <c:axId val="27976064"/>
      </c:barChart>
      <c:catAx>
        <c:axId val="2794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27976064"/>
        <c:crosses val="autoZero"/>
        <c:auto val="1"/>
        <c:lblAlgn val="ctr"/>
        <c:lblOffset val="100"/>
        <c:noMultiLvlLbl val="0"/>
      </c:catAx>
      <c:valAx>
        <c:axId val="279760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7949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Institutional Stillbirth Rate (iSBR)</a:t>
            </a:r>
          </a:p>
        </c:rich>
      </c:tx>
      <c:overlay val="0"/>
      <c:spPr>
        <a:noFill/>
        <a:ln>
          <a:noFill/>
        </a:ln>
        <a:effectLst/>
      </c:spPr>
    </c:title>
    <c:autoTitleDeleted val="0"/>
    <c:plotArea>
      <c:layout/>
      <c:barChart>
        <c:barDir val="col"/>
        <c:grouping val="clustered"/>
        <c:varyColors val="0"/>
        <c:ser>
          <c:idx val="8"/>
          <c:order val="0"/>
          <c:tx>
            <c:strRef>
              <c:f>Indicators!$B$2</c:f>
              <c:strCache>
                <c:ptCount val="1"/>
                <c:pt idx="0">
                  <c:v>Stillbirth rate (iSBR)</c:v>
                </c:pt>
              </c:strCache>
            </c:strRef>
          </c:tx>
          <c:spPr>
            <a:solidFill>
              <a:schemeClr val="accent5">
                <a:lumMod val="40000"/>
                <a:lumOff val="60000"/>
              </a:schemeClr>
            </a:solidFill>
            <a:ln>
              <a:solidFill>
                <a:srgbClr val="C00000"/>
              </a:solidFill>
            </a:ln>
            <a:effectLst/>
          </c:spPr>
          <c:invertIfNegative val="0"/>
          <c:dPt>
            <c:idx val="0"/>
            <c:invertIfNegative val="0"/>
            <c:bubble3D val="0"/>
            <c:spPr>
              <a:solidFill>
                <a:srgbClr val="FF2F92"/>
              </a:solidFill>
              <a:ln>
                <a:solidFill>
                  <a:srgbClr val="C00000"/>
                </a:solidFill>
              </a:ln>
              <a:effectLst/>
            </c:spPr>
            <c:extLst>
              <c:ext xmlns:c16="http://schemas.microsoft.com/office/drawing/2014/chart" uri="{C3380CC4-5D6E-409C-BE32-E72D297353CC}">
                <c16:uniqueId val="{0000000D-4EE6-BB4F-A825-5C534E847565}"/>
              </c:ext>
            </c:extLst>
          </c:dPt>
          <c:dPt>
            <c:idx val="13"/>
            <c:invertIfNegative val="0"/>
            <c:bubble3D val="0"/>
            <c:spPr>
              <a:solidFill>
                <a:srgbClr val="00FA00"/>
              </a:solidFill>
              <a:ln>
                <a:solidFill>
                  <a:srgbClr val="C00000"/>
                </a:solidFill>
              </a:ln>
              <a:effectLst/>
            </c:spPr>
            <c:extLst>
              <c:ext xmlns:c16="http://schemas.microsoft.com/office/drawing/2014/chart" uri="{C3380CC4-5D6E-409C-BE32-E72D297353CC}">
                <c16:uniqueId val="{0000000B-4EE6-BB4F-A825-5C534E847565}"/>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Indicators!$C$1:$AB$1</c:f>
              <c:strCache>
                <c:ptCount val="26"/>
                <c:pt idx="0">
                  <c:v>Overall average</c:v>
                </c:pt>
                <c:pt idx="1">
                  <c:v>Jan-19</c:v>
                </c:pt>
                <c:pt idx="2">
                  <c:v>Feb-19</c:v>
                </c:pt>
                <c:pt idx="3">
                  <c:v>Mar-19</c:v>
                </c:pt>
                <c:pt idx="4">
                  <c:v>Apr-19</c:v>
                </c:pt>
                <c:pt idx="5">
                  <c:v>May-19</c:v>
                </c:pt>
                <c:pt idx="6">
                  <c:v>Jun-19</c:v>
                </c:pt>
                <c:pt idx="7">
                  <c:v>Jul-19</c:v>
                </c:pt>
                <c:pt idx="8">
                  <c:v>Aug-19</c:v>
                </c:pt>
                <c:pt idx="9">
                  <c:v>Sep-19</c:v>
                </c:pt>
                <c:pt idx="10">
                  <c:v>Oct-19</c:v>
                </c:pt>
                <c:pt idx="11">
                  <c:v>Nov-19</c:v>
                </c:pt>
                <c:pt idx="12">
                  <c:v>Dec-19</c:v>
                </c:pt>
                <c:pt idx="13">
                  <c:v>2020 average</c:v>
                </c:pt>
                <c:pt idx="14">
                  <c:v>Jan-20</c:v>
                </c:pt>
                <c:pt idx="15">
                  <c:v>Feb-20</c:v>
                </c:pt>
                <c:pt idx="16">
                  <c:v>Mar-20</c:v>
                </c:pt>
                <c:pt idx="17">
                  <c:v>Apr-20</c:v>
                </c:pt>
                <c:pt idx="18">
                  <c:v>May-20</c:v>
                </c:pt>
                <c:pt idx="19">
                  <c:v>Jun-20</c:v>
                </c:pt>
                <c:pt idx="20">
                  <c:v>Jul-20</c:v>
                </c:pt>
                <c:pt idx="21">
                  <c:v>Aug-20</c:v>
                </c:pt>
                <c:pt idx="22">
                  <c:v>Sep-20</c:v>
                </c:pt>
                <c:pt idx="23">
                  <c:v>Oct-20</c:v>
                </c:pt>
                <c:pt idx="24">
                  <c:v>Nov-20</c:v>
                </c:pt>
                <c:pt idx="25">
                  <c:v>Dec-20</c:v>
                </c:pt>
              </c:strCache>
            </c:strRef>
          </c:cat>
          <c:val>
            <c:numRef>
              <c:f>Indicators!$C$2:$AB$2</c:f>
              <c:numCache>
                <c:formatCode>0.0</c:formatCode>
                <c:ptCount val="26"/>
                <c:pt idx="0">
                  <c:v>19.551397385150533</c:v>
                </c:pt>
                <c:pt idx="1">
                  <c:v>17.897091722595079</c:v>
                </c:pt>
                <c:pt idx="2">
                  <c:v>26.041666666666668</c:v>
                </c:pt>
                <c:pt idx="3">
                  <c:v>24.444444444444446</c:v>
                </c:pt>
                <c:pt idx="4">
                  <c:v>9.5238095238095255</c:v>
                </c:pt>
                <c:pt idx="5">
                  <c:v>19.148936170212767</c:v>
                </c:pt>
                <c:pt idx="6">
                  <c:v>11.627906976744185</c:v>
                </c:pt>
                <c:pt idx="7">
                  <c:v>13.82488479262673</c:v>
                </c:pt>
                <c:pt idx="8">
                  <c:v>28.205128205128204</c:v>
                </c:pt>
                <c:pt idx="9">
                  <c:v>12.738853503184714</c:v>
                </c:pt>
                <c:pt idx="10">
                  <c:v>14.85148514851485</c:v>
                </c:pt>
                <c:pt idx="11">
                  <c:v>25.773195876288657</c:v>
                </c:pt>
                <c:pt idx="12">
                  <c:v>25.462962962962962</c:v>
                </c:pt>
                <c:pt idx="13">
                  <c:v>20.516008703761266</c:v>
                </c:pt>
                <c:pt idx="14">
                  <c:v>19.480519480519479</c:v>
                </c:pt>
                <c:pt idx="15">
                  <c:v>17.509727626459146</c:v>
                </c:pt>
                <c:pt idx="16">
                  <c:v>23.4375</c:v>
                </c:pt>
                <c:pt idx="17">
                  <c:v>23.809523809523807</c:v>
                </c:pt>
                <c:pt idx="18">
                  <c:v>13.266998341625207</c:v>
                </c:pt>
                <c:pt idx="19">
                  <c:v>25.862068965517242</c:v>
                </c:pt>
                <c:pt idx="20">
                  <c:v>0</c:v>
                </c:pt>
                <c:pt idx="21">
                  <c:v>0</c:v>
                </c:pt>
                <c:pt idx="22">
                  <c:v>0</c:v>
                </c:pt>
                <c:pt idx="23">
                  <c:v>0</c:v>
                </c:pt>
                <c:pt idx="24">
                  <c:v>0</c:v>
                </c:pt>
                <c:pt idx="25">
                  <c:v>0</c:v>
                </c:pt>
              </c:numCache>
            </c:numRef>
          </c:val>
          <c:extLst>
            <c:ext xmlns:c16="http://schemas.microsoft.com/office/drawing/2014/chart" uri="{C3380CC4-5D6E-409C-BE32-E72D297353CC}">
              <c16:uniqueId val="{00000000-4EE6-BB4F-A825-5C534E847565}"/>
            </c:ext>
          </c:extLst>
        </c:ser>
        <c:dLbls>
          <c:showLegendKey val="0"/>
          <c:showVal val="0"/>
          <c:showCatName val="0"/>
          <c:showSerName val="0"/>
          <c:showPercent val="0"/>
          <c:showBubbleSize val="0"/>
        </c:dLbls>
        <c:gapWidth val="65"/>
        <c:overlap val="-27"/>
        <c:axId val="54749824"/>
        <c:axId val="54751616"/>
      </c:barChart>
      <c:catAx>
        <c:axId val="5474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54751616"/>
        <c:crosses val="autoZero"/>
        <c:auto val="1"/>
        <c:lblAlgn val="ctr"/>
        <c:lblOffset val="100"/>
        <c:noMultiLvlLbl val="0"/>
      </c:catAx>
      <c:valAx>
        <c:axId val="547516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54749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rgbClr val="C00000"/>
                </a:solidFill>
                <a:latin typeface="+mn-lt"/>
                <a:ea typeface="+mn-ea"/>
                <a:cs typeface="+mn-cs"/>
              </a:defRPr>
            </a:pPr>
            <a:r>
              <a:rPr lang="en-US" sz="2000" b="1">
                <a:solidFill>
                  <a:srgbClr val="C00000"/>
                </a:solidFill>
              </a:rPr>
              <a:t>Percentage</a:t>
            </a:r>
            <a:r>
              <a:rPr lang="en-US" sz="2000" b="1" baseline="0">
                <a:solidFill>
                  <a:srgbClr val="C00000"/>
                </a:solidFill>
              </a:rPr>
              <a:t> </a:t>
            </a:r>
            <a:r>
              <a:rPr lang="en-US" sz="2000" b="1">
                <a:solidFill>
                  <a:srgbClr val="C00000"/>
                </a:solidFill>
              </a:rPr>
              <a:t>Intrapartum Stillbirths out of all Stillbirths</a:t>
            </a:r>
          </a:p>
        </c:rich>
      </c:tx>
      <c:overlay val="0"/>
      <c:spPr>
        <a:noFill/>
        <a:ln>
          <a:noFill/>
        </a:ln>
        <a:effectLst/>
      </c:spPr>
    </c:title>
    <c:autoTitleDeleted val="0"/>
    <c:plotArea>
      <c:layout/>
      <c:barChart>
        <c:barDir val="col"/>
        <c:grouping val="clustered"/>
        <c:varyColors val="0"/>
        <c:ser>
          <c:idx val="9"/>
          <c:order val="0"/>
          <c:tx>
            <c:strRef>
              <c:f>Indicators!$B$3</c:f>
              <c:strCache>
                <c:ptCount val="1"/>
                <c:pt idx="0">
                  <c:v>% Intrapartum Stillbirths</c:v>
                </c:pt>
              </c:strCache>
            </c:strRef>
          </c:tx>
          <c:spPr>
            <a:pattFill prst="pct50">
              <a:fgClr>
                <a:schemeClr val="accent5">
                  <a:lumMod val="75000"/>
                </a:schemeClr>
              </a:fgClr>
              <a:bgClr>
                <a:schemeClr val="bg1"/>
              </a:bgClr>
            </a:pattFill>
            <a:ln>
              <a:solidFill>
                <a:srgbClr val="941100"/>
              </a:solidFill>
            </a:ln>
            <a:effectLst/>
          </c:spPr>
          <c:invertIfNegative val="0"/>
          <c:dPt>
            <c:idx val="0"/>
            <c:invertIfNegative val="0"/>
            <c:bubble3D val="0"/>
            <c:spPr>
              <a:pattFill prst="pct50">
                <a:fgClr>
                  <a:srgbClr val="FF2F92"/>
                </a:fgClr>
                <a:bgClr>
                  <a:schemeClr val="bg1"/>
                </a:bgClr>
              </a:pattFill>
              <a:ln>
                <a:solidFill>
                  <a:srgbClr val="941100"/>
                </a:solidFill>
              </a:ln>
              <a:effectLst/>
            </c:spPr>
            <c:extLst>
              <c:ext xmlns:c16="http://schemas.microsoft.com/office/drawing/2014/chart" uri="{C3380CC4-5D6E-409C-BE32-E72D297353CC}">
                <c16:uniqueId val="{00000019-BA78-6347-A721-7E9E2F516495}"/>
              </c:ext>
            </c:extLst>
          </c:dPt>
          <c:dPt>
            <c:idx val="13"/>
            <c:invertIfNegative val="0"/>
            <c:bubble3D val="0"/>
            <c:spPr>
              <a:pattFill prst="pct50">
                <a:fgClr>
                  <a:srgbClr val="00FA00"/>
                </a:fgClr>
                <a:bgClr>
                  <a:schemeClr val="bg1"/>
                </a:bgClr>
              </a:pattFill>
              <a:ln>
                <a:solidFill>
                  <a:srgbClr val="941100"/>
                </a:solidFill>
              </a:ln>
              <a:effectLst/>
            </c:spPr>
            <c:extLst>
              <c:ext xmlns:c16="http://schemas.microsoft.com/office/drawing/2014/chart" uri="{C3380CC4-5D6E-409C-BE32-E72D297353CC}">
                <c16:uniqueId val="{00000017-BA78-6347-A721-7E9E2F516495}"/>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Indicators!$C$1:$AB$1</c:f>
              <c:strCache>
                <c:ptCount val="26"/>
                <c:pt idx="0">
                  <c:v>Overall average</c:v>
                </c:pt>
                <c:pt idx="1">
                  <c:v>Jan-19</c:v>
                </c:pt>
                <c:pt idx="2">
                  <c:v>Feb-19</c:v>
                </c:pt>
                <c:pt idx="3">
                  <c:v>Mar-19</c:v>
                </c:pt>
                <c:pt idx="4">
                  <c:v>Apr-19</c:v>
                </c:pt>
                <c:pt idx="5">
                  <c:v>May-19</c:v>
                </c:pt>
                <c:pt idx="6">
                  <c:v>Jun-19</c:v>
                </c:pt>
                <c:pt idx="7">
                  <c:v>Jul-19</c:v>
                </c:pt>
                <c:pt idx="8">
                  <c:v>Aug-19</c:v>
                </c:pt>
                <c:pt idx="9">
                  <c:v>Sep-19</c:v>
                </c:pt>
                <c:pt idx="10">
                  <c:v>Oct-19</c:v>
                </c:pt>
                <c:pt idx="11">
                  <c:v>Nov-19</c:v>
                </c:pt>
                <c:pt idx="12">
                  <c:v>Dec-19</c:v>
                </c:pt>
                <c:pt idx="13">
                  <c:v>2020 average</c:v>
                </c:pt>
                <c:pt idx="14">
                  <c:v>Jan-20</c:v>
                </c:pt>
                <c:pt idx="15">
                  <c:v>Feb-20</c:v>
                </c:pt>
                <c:pt idx="16">
                  <c:v>Mar-20</c:v>
                </c:pt>
                <c:pt idx="17">
                  <c:v>Apr-20</c:v>
                </c:pt>
                <c:pt idx="18">
                  <c:v>May-20</c:v>
                </c:pt>
                <c:pt idx="19">
                  <c:v>Jun-20</c:v>
                </c:pt>
                <c:pt idx="20">
                  <c:v>Jul-20</c:v>
                </c:pt>
                <c:pt idx="21">
                  <c:v>Aug-20</c:v>
                </c:pt>
                <c:pt idx="22">
                  <c:v>Sep-20</c:v>
                </c:pt>
                <c:pt idx="23">
                  <c:v>Oct-20</c:v>
                </c:pt>
                <c:pt idx="24">
                  <c:v>Nov-20</c:v>
                </c:pt>
                <c:pt idx="25">
                  <c:v>Dec-20</c:v>
                </c:pt>
              </c:strCache>
            </c:strRef>
          </c:cat>
          <c:val>
            <c:numRef>
              <c:f>Indicators!$C$3:$AB$3</c:f>
              <c:numCache>
                <c:formatCode>0.0%</c:formatCode>
                <c:ptCount val="26"/>
                <c:pt idx="0">
                  <c:v>0.41717791411042943</c:v>
                </c:pt>
                <c:pt idx="1">
                  <c:v>0.5</c:v>
                </c:pt>
                <c:pt idx="2">
                  <c:v>0.4</c:v>
                </c:pt>
                <c:pt idx="3">
                  <c:v>0.54545454545454541</c:v>
                </c:pt>
                <c:pt idx="4">
                  <c:v>0.5</c:v>
                </c:pt>
                <c:pt idx="5">
                  <c:v>0.33333333333333331</c:v>
                </c:pt>
                <c:pt idx="6">
                  <c:v>0.6</c:v>
                </c:pt>
                <c:pt idx="7">
                  <c:v>0.33333333333333331</c:v>
                </c:pt>
                <c:pt idx="8">
                  <c:v>0.27272727272727271</c:v>
                </c:pt>
                <c:pt idx="9">
                  <c:v>0.5</c:v>
                </c:pt>
                <c:pt idx="10">
                  <c:v>0.66666666666666663</c:v>
                </c:pt>
                <c:pt idx="11">
                  <c:v>0.4</c:v>
                </c:pt>
                <c:pt idx="12">
                  <c:v>0.54545454545454541</c:v>
                </c:pt>
                <c:pt idx="13">
                  <c:v>0.36363636363636365</c:v>
                </c:pt>
                <c:pt idx="14">
                  <c:v>0.55555555555555558</c:v>
                </c:pt>
                <c:pt idx="15">
                  <c:v>0.44444444444444442</c:v>
                </c:pt>
                <c:pt idx="16">
                  <c:v>0.58333333333333337</c:v>
                </c:pt>
                <c:pt idx="17">
                  <c:v>0.30769230769230771</c:v>
                </c:pt>
                <c:pt idx="18">
                  <c:v>0.25</c:v>
                </c:pt>
                <c:pt idx="19">
                  <c:v>0.13333333333333333</c:v>
                </c:pt>
                <c:pt idx="20">
                  <c:v>0</c:v>
                </c:pt>
                <c:pt idx="21">
                  <c:v>0</c:v>
                </c:pt>
                <c:pt idx="22">
                  <c:v>0</c:v>
                </c:pt>
                <c:pt idx="23">
                  <c:v>0</c:v>
                </c:pt>
                <c:pt idx="24">
                  <c:v>0</c:v>
                </c:pt>
                <c:pt idx="25">
                  <c:v>0</c:v>
                </c:pt>
              </c:numCache>
            </c:numRef>
          </c:val>
          <c:extLst>
            <c:ext xmlns:c16="http://schemas.microsoft.com/office/drawing/2014/chart" uri="{C3380CC4-5D6E-409C-BE32-E72D297353CC}">
              <c16:uniqueId val="{00000001-BA78-6347-A721-7E9E2F516495}"/>
            </c:ext>
          </c:extLst>
        </c:ser>
        <c:dLbls>
          <c:showLegendKey val="0"/>
          <c:showVal val="0"/>
          <c:showCatName val="0"/>
          <c:showSerName val="0"/>
          <c:showPercent val="0"/>
          <c:showBubbleSize val="0"/>
        </c:dLbls>
        <c:gapWidth val="108"/>
        <c:overlap val="-27"/>
        <c:axId val="55195520"/>
        <c:axId val="55197056"/>
      </c:barChart>
      <c:catAx>
        <c:axId val="5519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55197056"/>
        <c:crosses val="autoZero"/>
        <c:auto val="1"/>
        <c:lblAlgn val="ctr"/>
        <c:lblOffset val="100"/>
        <c:noMultiLvlLbl val="0"/>
      </c:catAx>
      <c:valAx>
        <c:axId val="551970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55195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rgbClr val="C00000"/>
                </a:solidFill>
                <a:latin typeface="+mn-lt"/>
                <a:ea typeface="+mn-ea"/>
                <a:cs typeface="+mn-cs"/>
              </a:defRPr>
            </a:pPr>
            <a:r>
              <a:rPr lang="en-GB" sz="2000" b="1">
                <a:solidFill>
                  <a:srgbClr val="C00000"/>
                </a:solidFill>
              </a:rPr>
              <a:t>Institutional</a:t>
            </a:r>
            <a:r>
              <a:rPr lang="en-GB" sz="2000" b="1" baseline="0">
                <a:solidFill>
                  <a:srgbClr val="C00000"/>
                </a:solidFill>
              </a:rPr>
              <a:t> Preterm Birth (&lt;37 weeks) and Low Birthweight Rates</a:t>
            </a:r>
            <a:endParaRPr lang="en-GB" sz="2000" b="1">
              <a:solidFill>
                <a:srgbClr val="C00000"/>
              </a:solidFill>
            </a:endParaRPr>
          </a:p>
        </c:rich>
      </c:tx>
      <c:overlay val="0"/>
      <c:spPr>
        <a:noFill/>
        <a:ln>
          <a:noFill/>
        </a:ln>
        <a:effectLst/>
      </c:spPr>
    </c:title>
    <c:autoTitleDeleted val="0"/>
    <c:plotArea>
      <c:layout>
        <c:manualLayout>
          <c:layoutTarget val="inner"/>
          <c:xMode val="edge"/>
          <c:yMode val="edge"/>
          <c:x val="5.4600759637745584E-2"/>
          <c:y val="7.7057657406046198E-2"/>
          <c:w val="0.93372987304870414"/>
          <c:h val="0.76196160921903444"/>
        </c:manualLayout>
      </c:layout>
      <c:barChart>
        <c:barDir val="col"/>
        <c:grouping val="clustered"/>
        <c:varyColors val="0"/>
        <c:ser>
          <c:idx val="5"/>
          <c:order val="0"/>
          <c:tx>
            <c:strRef>
              <c:f>Indicators!$B$10</c:f>
              <c:strCache>
                <c:ptCount val="1"/>
                <c:pt idx="0">
                  <c:v>Low Birthweight Rate (iLBWR)</c:v>
                </c:pt>
              </c:strCache>
            </c:strRef>
          </c:tx>
          <c:spPr>
            <a:pattFill prst="pct90">
              <a:fgClr>
                <a:srgbClr val="0070C0"/>
              </a:fgClr>
              <a:bgClr>
                <a:schemeClr val="bg1"/>
              </a:bgClr>
            </a:pattFill>
            <a:ln>
              <a:noFill/>
            </a:ln>
            <a:effectLst/>
          </c:spPr>
          <c:invertIfNegative val="0"/>
          <c:dPt>
            <c:idx val="0"/>
            <c:invertIfNegative val="0"/>
            <c:bubble3D val="0"/>
            <c:spPr>
              <a:pattFill prst="pct90">
                <a:fgClr>
                  <a:srgbClr val="7030A0"/>
                </a:fgClr>
                <a:bgClr>
                  <a:schemeClr val="bg1"/>
                </a:bgClr>
              </a:pattFill>
              <a:ln>
                <a:noFill/>
              </a:ln>
              <a:effectLst/>
            </c:spPr>
            <c:extLst>
              <c:ext xmlns:c16="http://schemas.microsoft.com/office/drawing/2014/chart" uri="{C3380CC4-5D6E-409C-BE32-E72D297353CC}">
                <c16:uniqueId val="{00000007-E426-0948-A1D6-240B6C11591A}"/>
              </c:ext>
            </c:extLst>
          </c:dPt>
          <c:dPt>
            <c:idx val="13"/>
            <c:invertIfNegative val="0"/>
            <c:bubble3D val="0"/>
            <c:spPr>
              <a:solidFill>
                <a:srgbClr val="00B050"/>
              </a:solidFill>
              <a:ln>
                <a:noFill/>
              </a:ln>
              <a:effectLst/>
            </c:spPr>
            <c:extLst>
              <c:ext xmlns:c16="http://schemas.microsoft.com/office/drawing/2014/chart" uri="{C3380CC4-5D6E-409C-BE32-E72D297353CC}">
                <c16:uniqueId val="{00000005-E426-0948-A1D6-240B6C11591A}"/>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Indicators!$C$1:$AB$1</c:f>
              <c:strCache>
                <c:ptCount val="26"/>
                <c:pt idx="0">
                  <c:v>Overall average</c:v>
                </c:pt>
                <c:pt idx="1">
                  <c:v>Jan-19</c:v>
                </c:pt>
                <c:pt idx="2">
                  <c:v>Feb-19</c:v>
                </c:pt>
                <c:pt idx="3">
                  <c:v>Mar-19</c:v>
                </c:pt>
                <c:pt idx="4">
                  <c:v>Apr-19</c:v>
                </c:pt>
                <c:pt idx="5">
                  <c:v>May-19</c:v>
                </c:pt>
                <c:pt idx="6">
                  <c:v>Jun-19</c:v>
                </c:pt>
                <c:pt idx="7">
                  <c:v>Jul-19</c:v>
                </c:pt>
                <c:pt idx="8">
                  <c:v>Aug-19</c:v>
                </c:pt>
                <c:pt idx="9">
                  <c:v>Sep-19</c:v>
                </c:pt>
                <c:pt idx="10">
                  <c:v>Oct-19</c:v>
                </c:pt>
                <c:pt idx="11">
                  <c:v>Nov-19</c:v>
                </c:pt>
                <c:pt idx="12">
                  <c:v>Dec-19</c:v>
                </c:pt>
                <c:pt idx="13">
                  <c:v>2020 average</c:v>
                </c:pt>
                <c:pt idx="14">
                  <c:v>Jan-20</c:v>
                </c:pt>
                <c:pt idx="15">
                  <c:v>Feb-20</c:v>
                </c:pt>
                <c:pt idx="16">
                  <c:v>Mar-20</c:v>
                </c:pt>
                <c:pt idx="17">
                  <c:v>Apr-20</c:v>
                </c:pt>
                <c:pt idx="18">
                  <c:v>May-20</c:v>
                </c:pt>
                <c:pt idx="19">
                  <c:v>Jun-20</c:v>
                </c:pt>
                <c:pt idx="20">
                  <c:v>Jul-20</c:v>
                </c:pt>
                <c:pt idx="21">
                  <c:v>Aug-20</c:v>
                </c:pt>
                <c:pt idx="22">
                  <c:v>Sep-20</c:v>
                </c:pt>
                <c:pt idx="23">
                  <c:v>Oct-20</c:v>
                </c:pt>
                <c:pt idx="24">
                  <c:v>Nov-20</c:v>
                </c:pt>
                <c:pt idx="25">
                  <c:v>Dec-20</c:v>
                </c:pt>
              </c:strCache>
            </c:strRef>
          </c:cat>
          <c:val>
            <c:numRef>
              <c:f>Indicators!$C$10:$AB$10</c:f>
              <c:numCache>
                <c:formatCode>0.0%</c:formatCode>
                <c:ptCount val="26"/>
                <c:pt idx="0">
                  <c:v>0.10748866282632676</c:v>
                </c:pt>
                <c:pt idx="1">
                  <c:v>6.6059225512528477E-2</c:v>
                </c:pt>
                <c:pt idx="2">
                  <c:v>0.10962566844919786</c:v>
                </c:pt>
                <c:pt idx="3">
                  <c:v>0.14285714285714285</c:v>
                </c:pt>
                <c:pt idx="4">
                  <c:v>0.15144230769230768</c:v>
                </c:pt>
                <c:pt idx="5">
                  <c:v>0.11062906724511931</c:v>
                </c:pt>
                <c:pt idx="6">
                  <c:v>7.2941176470588232E-2</c:v>
                </c:pt>
                <c:pt idx="7">
                  <c:v>0.12383177570093458</c:v>
                </c:pt>
                <c:pt idx="8">
                  <c:v>0.14248021108179421</c:v>
                </c:pt>
                <c:pt idx="9">
                  <c:v>9.6774193548387094E-2</c:v>
                </c:pt>
                <c:pt idx="10">
                  <c:v>4.9868766404199474E-2</c:v>
                </c:pt>
                <c:pt idx="11">
                  <c:v>0.13756613756613756</c:v>
                </c:pt>
                <c:pt idx="12">
                  <c:v>9.9762470308788598E-2</c:v>
                </c:pt>
                <c:pt idx="13">
                  <c:v>0.10599809584258965</c:v>
                </c:pt>
                <c:pt idx="14">
                  <c:v>9.0507726269315678E-2</c:v>
                </c:pt>
                <c:pt idx="15">
                  <c:v>0.15643564356435644</c:v>
                </c:pt>
                <c:pt idx="16">
                  <c:v>0.12</c:v>
                </c:pt>
                <c:pt idx="17">
                  <c:v>8.2551594746716694E-2</c:v>
                </c:pt>
                <c:pt idx="18">
                  <c:v>9.4117647058823528E-2</c:v>
                </c:pt>
                <c:pt idx="19">
                  <c:v>9.5575221238938052E-2</c:v>
                </c:pt>
                <c:pt idx="20">
                  <c:v>0</c:v>
                </c:pt>
                <c:pt idx="21">
                  <c:v>0</c:v>
                </c:pt>
                <c:pt idx="22">
                  <c:v>0</c:v>
                </c:pt>
                <c:pt idx="23">
                  <c:v>0</c:v>
                </c:pt>
                <c:pt idx="24">
                  <c:v>0</c:v>
                </c:pt>
                <c:pt idx="25">
                  <c:v>0</c:v>
                </c:pt>
              </c:numCache>
            </c:numRef>
          </c:val>
          <c:extLst>
            <c:ext xmlns:c16="http://schemas.microsoft.com/office/drawing/2014/chart" uri="{C3380CC4-5D6E-409C-BE32-E72D297353CC}">
              <c16:uniqueId val="{00000002-E426-0948-A1D6-240B6C11591A}"/>
            </c:ext>
          </c:extLst>
        </c:ser>
        <c:ser>
          <c:idx val="6"/>
          <c:order val="1"/>
          <c:tx>
            <c:strRef>
              <c:f>Indicators!$B$11</c:f>
              <c:strCache>
                <c:ptCount val="1"/>
                <c:pt idx="0">
                  <c:v>Preterm Birth Rate (iPTBR)</c:v>
                </c:pt>
              </c:strCache>
            </c:strRef>
          </c:tx>
          <c:spPr>
            <a:pattFill prst="pct90">
              <a:fgClr>
                <a:schemeClr val="tx1">
                  <a:lumMod val="50000"/>
                  <a:lumOff val="50000"/>
                </a:schemeClr>
              </a:fgClr>
              <a:bgClr>
                <a:schemeClr val="bg1"/>
              </a:bgClr>
            </a:pattFill>
            <a:ln>
              <a:noFill/>
            </a:ln>
            <a:effectLst/>
          </c:spPr>
          <c:invertIfNegative val="0"/>
          <c:dPt>
            <c:idx val="0"/>
            <c:invertIfNegative val="0"/>
            <c:bubble3D val="0"/>
            <c:spPr>
              <a:pattFill prst="pct90">
                <a:fgClr>
                  <a:srgbClr val="FF2F92"/>
                </a:fgClr>
                <a:bgClr>
                  <a:schemeClr val="bg1"/>
                </a:bgClr>
              </a:pattFill>
              <a:ln>
                <a:noFill/>
              </a:ln>
              <a:effectLst/>
            </c:spPr>
            <c:extLst>
              <c:ext xmlns:c16="http://schemas.microsoft.com/office/drawing/2014/chart" uri="{C3380CC4-5D6E-409C-BE32-E72D297353CC}">
                <c16:uniqueId val="{00000008-E426-0948-A1D6-240B6C11591A}"/>
              </c:ext>
            </c:extLst>
          </c:dPt>
          <c:dPt>
            <c:idx val="13"/>
            <c:invertIfNegative val="0"/>
            <c:bubble3D val="0"/>
            <c:spPr>
              <a:pattFill prst="pct90">
                <a:fgClr>
                  <a:srgbClr val="00FA00"/>
                </a:fgClr>
                <a:bgClr>
                  <a:schemeClr val="bg1"/>
                </a:bgClr>
              </a:pattFill>
              <a:ln>
                <a:noFill/>
              </a:ln>
              <a:effectLst/>
            </c:spPr>
            <c:extLst>
              <c:ext xmlns:c16="http://schemas.microsoft.com/office/drawing/2014/chart" uri="{C3380CC4-5D6E-409C-BE32-E72D297353CC}">
                <c16:uniqueId val="{00000004-E426-0948-A1D6-240B6C11591A}"/>
              </c:ext>
            </c:extLst>
          </c:dPt>
          <c:dLbls>
            <c:spPr>
              <a:solidFill>
                <a:schemeClr val="lt1"/>
              </a:solidFill>
              <a:ln w="1270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C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Indicators!$C$1:$AB$1</c:f>
              <c:strCache>
                <c:ptCount val="26"/>
                <c:pt idx="0">
                  <c:v>Overall average</c:v>
                </c:pt>
                <c:pt idx="1">
                  <c:v>Jan-19</c:v>
                </c:pt>
                <c:pt idx="2">
                  <c:v>Feb-19</c:v>
                </c:pt>
                <c:pt idx="3">
                  <c:v>Mar-19</c:v>
                </c:pt>
                <c:pt idx="4">
                  <c:v>Apr-19</c:v>
                </c:pt>
                <c:pt idx="5">
                  <c:v>May-19</c:v>
                </c:pt>
                <c:pt idx="6">
                  <c:v>Jun-19</c:v>
                </c:pt>
                <c:pt idx="7">
                  <c:v>Jul-19</c:v>
                </c:pt>
                <c:pt idx="8">
                  <c:v>Aug-19</c:v>
                </c:pt>
                <c:pt idx="9">
                  <c:v>Sep-19</c:v>
                </c:pt>
                <c:pt idx="10">
                  <c:v>Oct-19</c:v>
                </c:pt>
                <c:pt idx="11">
                  <c:v>Nov-19</c:v>
                </c:pt>
                <c:pt idx="12">
                  <c:v>Dec-19</c:v>
                </c:pt>
                <c:pt idx="13">
                  <c:v>2020 average</c:v>
                </c:pt>
                <c:pt idx="14">
                  <c:v>Jan-20</c:v>
                </c:pt>
                <c:pt idx="15">
                  <c:v>Feb-20</c:v>
                </c:pt>
                <c:pt idx="16">
                  <c:v>Mar-20</c:v>
                </c:pt>
                <c:pt idx="17">
                  <c:v>Apr-20</c:v>
                </c:pt>
                <c:pt idx="18">
                  <c:v>May-20</c:v>
                </c:pt>
                <c:pt idx="19">
                  <c:v>Jun-20</c:v>
                </c:pt>
                <c:pt idx="20">
                  <c:v>Jul-20</c:v>
                </c:pt>
                <c:pt idx="21">
                  <c:v>Aug-20</c:v>
                </c:pt>
                <c:pt idx="22">
                  <c:v>Sep-20</c:v>
                </c:pt>
                <c:pt idx="23">
                  <c:v>Oct-20</c:v>
                </c:pt>
                <c:pt idx="24">
                  <c:v>Nov-20</c:v>
                </c:pt>
                <c:pt idx="25">
                  <c:v>Dec-20</c:v>
                </c:pt>
              </c:strCache>
            </c:strRef>
          </c:cat>
          <c:val>
            <c:numRef>
              <c:f>Indicators!$C$11:$AB$11</c:f>
              <c:numCache>
                <c:formatCode>0.0%</c:formatCode>
                <c:ptCount val="26"/>
                <c:pt idx="0">
                  <c:v>2.1693835028802549E-2</c:v>
                </c:pt>
                <c:pt idx="1">
                  <c:v>0</c:v>
                </c:pt>
                <c:pt idx="2">
                  <c:v>0</c:v>
                </c:pt>
                <c:pt idx="3">
                  <c:v>0</c:v>
                </c:pt>
                <c:pt idx="4">
                  <c:v>0</c:v>
                </c:pt>
                <c:pt idx="5">
                  <c:v>0</c:v>
                </c:pt>
                <c:pt idx="6">
                  <c:v>0</c:v>
                </c:pt>
                <c:pt idx="7">
                  <c:v>4.9065420560747662E-2</c:v>
                </c:pt>
                <c:pt idx="8">
                  <c:v>0</c:v>
                </c:pt>
                <c:pt idx="9">
                  <c:v>1.935483870967742E-2</c:v>
                </c:pt>
                <c:pt idx="10">
                  <c:v>4.4619422572178477E-2</c:v>
                </c:pt>
                <c:pt idx="11">
                  <c:v>4.2328042328042326E-2</c:v>
                </c:pt>
                <c:pt idx="12">
                  <c:v>3.3254156769596199E-2</c:v>
                </c:pt>
                <c:pt idx="13">
                  <c:v>3.1735956839098696E-2</c:v>
                </c:pt>
                <c:pt idx="14">
                  <c:v>3.5320088300220751E-2</c:v>
                </c:pt>
                <c:pt idx="15">
                  <c:v>2.3762376237623763E-2</c:v>
                </c:pt>
                <c:pt idx="16">
                  <c:v>3.5999999999999997E-2</c:v>
                </c:pt>
                <c:pt idx="17">
                  <c:v>3.0018761726078799E-2</c:v>
                </c:pt>
                <c:pt idx="18">
                  <c:v>3.3613445378151259E-2</c:v>
                </c:pt>
                <c:pt idx="19">
                  <c:v>3.1858407079646017E-2</c:v>
                </c:pt>
                <c:pt idx="20">
                  <c:v>0</c:v>
                </c:pt>
                <c:pt idx="21">
                  <c:v>0</c:v>
                </c:pt>
                <c:pt idx="22">
                  <c:v>0</c:v>
                </c:pt>
                <c:pt idx="23">
                  <c:v>0</c:v>
                </c:pt>
                <c:pt idx="24">
                  <c:v>0</c:v>
                </c:pt>
                <c:pt idx="25">
                  <c:v>0</c:v>
                </c:pt>
              </c:numCache>
            </c:numRef>
          </c:val>
          <c:extLst>
            <c:ext xmlns:c16="http://schemas.microsoft.com/office/drawing/2014/chart" uri="{C3380CC4-5D6E-409C-BE32-E72D297353CC}">
              <c16:uniqueId val="{00000003-E426-0948-A1D6-240B6C11591A}"/>
            </c:ext>
          </c:extLst>
        </c:ser>
        <c:dLbls>
          <c:showLegendKey val="0"/>
          <c:showVal val="0"/>
          <c:showCatName val="0"/>
          <c:showSerName val="0"/>
          <c:showPercent val="0"/>
          <c:showBubbleSize val="0"/>
        </c:dLbls>
        <c:gapWidth val="70"/>
        <c:overlap val="-27"/>
        <c:axId val="55063680"/>
        <c:axId val="55065216"/>
      </c:barChart>
      <c:catAx>
        <c:axId val="5506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55065216"/>
        <c:crosses val="autoZero"/>
        <c:auto val="1"/>
        <c:lblAlgn val="ctr"/>
        <c:lblOffset val="100"/>
        <c:noMultiLvlLbl val="0"/>
      </c:catAx>
      <c:valAx>
        <c:axId val="550652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55063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rgbClr val="C00000"/>
                </a:solidFill>
                <a:latin typeface="+mn-lt"/>
                <a:ea typeface="+mn-ea"/>
                <a:cs typeface="+mn-cs"/>
              </a:defRPr>
            </a:pPr>
            <a:r>
              <a:rPr lang="en-US" sz="2000" b="1">
                <a:solidFill>
                  <a:srgbClr val="C00000"/>
                </a:solidFill>
              </a:rPr>
              <a:t>Mode</a:t>
            </a:r>
            <a:r>
              <a:rPr lang="en-US" sz="2000" b="1" baseline="0">
                <a:solidFill>
                  <a:srgbClr val="C00000"/>
                </a:solidFill>
              </a:rPr>
              <a:t> of Delivery - Overall</a:t>
            </a:r>
            <a:endParaRPr lang="en-US" sz="2000" b="1">
              <a:solidFill>
                <a:srgbClr val="C00000"/>
              </a:solidFill>
            </a:endParaRPr>
          </a:p>
        </c:rich>
      </c:tx>
      <c:overlay val="0"/>
      <c:spPr>
        <a:noFill/>
        <a:ln>
          <a:noFill/>
        </a:ln>
        <a:effectLst/>
      </c:spPr>
    </c:title>
    <c:autoTitleDeleted val="0"/>
    <c:plotArea>
      <c:layout>
        <c:manualLayout>
          <c:layoutTarget val="inner"/>
          <c:xMode val="edge"/>
          <c:yMode val="edge"/>
          <c:x val="0.13635238337143399"/>
          <c:y val="0.17258825302339648"/>
          <c:w val="0.5502350907890976"/>
          <c:h val="0.7429432177936540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B-4D77-3C49-A92A-2C483DFBCBB5}"/>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A-4D77-3C49-A92A-2C483DFBCBB5}"/>
              </c:ext>
            </c:extLst>
          </c:dPt>
          <c:dPt>
            <c:idx val="2"/>
            <c:bubble3D val="0"/>
            <c:explosion val="11"/>
            <c:spPr>
              <a:solidFill>
                <a:srgbClr val="FF2F92"/>
              </a:solidFill>
              <a:ln w="19050">
                <a:solidFill>
                  <a:schemeClr val="lt1"/>
                </a:solidFill>
              </a:ln>
              <a:effectLst/>
            </c:spPr>
            <c:extLst>
              <c:ext xmlns:c16="http://schemas.microsoft.com/office/drawing/2014/chart" uri="{C3380CC4-5D6E-409C-BE32-E72D297353CC}">
                <c16:uniqueId val="{00000009-4D77-3C49-A92A-2C483DFBCBB5}"/>
              </c:ext>
            </c:extLst>
          </c:dPt>
          <c:dLbls>
            <c:dLbl>
              <c:idx val="0"/>
              <c:layout>
                <c:manualLayout>
                  <c:x val="-0.27630877359973827"/>
                  <c:y val="2.5061244919429043E-2"/>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mn-lt"/>
                        <a:ea typeface="+mn-ea"/>
                        <a:cs typeface="+mn-cs"/>
                      </a:defRPr>
                    </a:pPr>
                    <a:r>
                      <a:rPr lang="en-US">
                        <a:solidFill>
                          <a:schemeClr val="tx1"/>
                        </a:solidFill>
                      </a:rPr>
                      <a:t>Spontaneous</a:t>
                    </a:r>
                    <a:r>
                      <a:rPr lang="en-US" baseline="0">
                        <a:solidFill>
                          <a:schemeClr val="tx1"/>
                        </a:solidFill>
                      </a:rPr>
                      <a:t> Vaginal Deliveries; </a:t>
                    </a:r>
                    <a:fld id="{27E682C4-B8D5-B54B-B782-7D22C0A0844F}" type="VALUE">
                      <a:rPr lang="en-US" baseline="0">
                        <a:solidFill>
                          <a:schemeClr val="tx1"/>
                        </a:solidFill>
                      </a:rPr>
                      <a:pPr>
                        <a:defRPr sz="1400" b="1" i="0" u="none" strike="noStrike" kern="1200" baseline="0">
                          <a:solidFill>
                            <a:schemeClr val="tx1"/>
                          </a:solidFill>
                          <a:latin typeface="+mn-lt"/>
                          <a:ea typeface="+mn-ea"/>
                          <a:cs typeface="+mn-cs"/>
                        </a:defRPr>
                      </a:pPr>
                      <a:t>[VALUE]</a:t>
                    </a:fld>
                    <a:endParaRPr lang="en-US" baseline="0">
                      <a:solidFill>
                        <a:schemeClr val="tx1"/>
                      </a:solidFill>
                    </a:endParaRPr>
                  </a:p>
                </c:rich>
              </c:tx>
              <c:spPr>
                <a:noFill/>
                <a:ln>
                  <a:solidFill>
                    <a:schemeClr val="accent1"/>
                  </a:solidFill>
                </a:ln>
                <a:effectLst/>
              </c:sp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44270967741935485"/>
                      <c:h val="0.13722488038277511"/>
                    </c:manualLayout>
                  </c15:layout>
                  <c15:dlblFieldTable/>
                  <c15:showDataLabelsRange val="0"/>
                </c:ext>
                <c:ext xmlns:c16="http://schemas.microsoft.com/office/drawing/2014/chart" uri="{C3380CC4-5D6E-409C-BE32-E72D297353CC}">
                  <c16:uniqueId val="{0000000B-4D77-3C49-A92A-2C483DFBCBB5}"/>
                </c:ext>
              </c:extLst>
            </c:dLbl>
            <c:dLbl>
              <c:idx val="1"/>
              <c:layout>
                <c:manualLayout>
                  <c:x val="-0.13118279569892469"/>
                  <c:y val="-2.8708133971291887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4D77-3C49-A92A-2C483DFBCBB5}"/>
                </c:ext>
              </c:extLst>
            </c:dLbl>
            <c:dLbl>
              <c:idx val="2"/>
              <c:layout>
                <c:manualLayout>
                  <c:x val="0.33373945634021868"/>
                  <c:y val="-4.2301863532508678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7741935483870966"/>
                      <c:h val="8.8947368421052636E-2"/>
                    </c:manualLayout>
                  </c15:layout>
                </c:ext>
                <c:ext xmlns:c16="http://schemas.microsoft.com/office/drawing/2014/chart" uri="{C3380CC4-5D6E-409C-BE32-E72D297353CC}">
                  <c16:uniqueId val="{00000009-4D77-3C49-A92A-2C483DFBCBB5}"/>
                </c:ext>
              </c:extLst>
            </c:dLbl>
            <c:spPr>
              <a:noFill/>
              <a:ln>
                <a:solidFill>
                  <a:schemeClr val="accent1"/>
                </a:solid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Indicators!$B$19:$B$21</c:f>
              <c:strCache>
                <c:ptCount val="3"/>
                <c:pt idx="0">
                  <c:v>SVDs</c:v>
                </c:pt>
                <c:pt idx="1">
                  <c:v>Assisted</c:v>
                </c:pt>
                <c:pt idx="2">
                  <c:v>C-Sections</c:v>
                </c:pt>
              </c:strCache>
            </c:strRef>
          </c:cat>
          <c:val>
            <c:numRef>
              <c:f>Indicators!$C$19:$C$21</c:f>
              <c:numCache>
                <c:formatCode>0.0%</c:formatCode>
                <c:ptCount val="3"/>
                <c:pt idx="0">
                  <c:v>0.82236522583778537</c:v>
                </c:pt>
                <c:pt idx="1">
                  <c:v>1.0927634774162214E-2</c:v>
                </c:pt>
                <c:pt idx="2">
                  <c:v>0.16670713938805246</c:v>
                </c:pt>
              </c:numCache>
            </c:numRef>
          </c:val>
          <c:extLst>
            <c:ext xmlns:c16="http://schemas.microsoft.com/office/drawing/2014/chart" uri="{C3380CC4-5D6E-409C-BE32-E72D297353CC}">
              <c16:uniqueId val="{00000006-4247-3E48-A39B-E6389FF8D32B}"/>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rgbClr val="C00000"/>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400" b="1" i="0" u="none" strike="noStrike" kern="1200" spc="0" baseline="0">
              <a:solidFill>
                <a:srgbClr val="941100"/>
              </a:solidFill>
              <a:latin typeface="+mn-lt"/>
              <a:ea typeface="+mn-ea"/>
              <a:cs typeface="+mn-cs"/>
            </a:defRPr>
          </a:pPr>
          <a:endParaRPr lang="en-US"/>
        </a:p>
      </c:txPr>
    </c:title>
    <c:autoTitleDeleted val="0"/>
    <c:plotArea>
      <c:layout/>
      <c:barChart>
        <c:barDir val="col"/>
        <c:grouping val="clustered"/>
        <c:varyColors val="0"/>
        <c:ser>
          <c:idx val="3"/>
          <c:order val="0"/>
          <c:tx>
            <c:strRef>
              <c:f>Indicators!$B$8</c:f>
              <c:strCache>
                <c:ptCount val="1"/>
                <c:pt idx="0">
                  <c:v>Caesarean Section Rate (CSR)</c:v>
                </c:pt>
              </c:strCache>
            </c:strRef>
          </c:tx>
          <c:spPr>
            <a:pattFill prst="horzBrick">
              <a:fgClr>
                <a:schemeClr val="accent5">
                  <a:lumMod val="75000"/>
                </a:schemeClr>
              </a:fgClr>
              <a:bgClr>
                <a:schemeClr val="bg1"/>
              </a:bgClr>
            </a:pattFill>
            <a:ln w="19050">
              <a:solidFill>
                <a:srgbClr val="C00000"/>
              </a:solidFill>
            </a:ln>
            <a:effectLst/>
          </c:spPr>
          <c:invertIfNegative val="0"/>
          <c:dPt>
            <c:idx val="0"/>
            <c:invertIfNegative val="0"/>
            <c:bubble3D val="0"/>
            <c:spPr>
              <a:pattFill prst="horzBrick">
                <a:fgClr>
                  <a:srgbClr val="FF2F92"/>
                </a:fgClr>
                <a:bgClr>
                  <a:schemeClr val="bg1"/>
                </a:bgClr>
              </a:pattFill>
              <a:ln w="19050">
                <a:solidFill>
                  <a:srgbClr val="C00000"/>
                </a:solidFill>
              </a:ln>
              <a:effectLst/>
            </c:spPr>
            <c:extLst>
              <c:ext xmlns:c16="http://schemas.microsoft.com/office/drawing/2014/chart" uri="{C3380CC4-5D6E-409C-BE32-E72D297353CC}">
                <c16:uniqueId val="{0000000C-CD23-1D4B-9866-89B3BDA3B109}"/>
              </c:ext>
            </c:extLst>
          </c:dPt>
          <c:dPt>
            <c:idx val="13"/>
            <c:invertIfNegative val="0"/>
            <c:bubble3D val="0"/>
            <c:spPr>
              <a:solidFill>
                <a:srgbClr val="00FA00"/>
              </a:solidFill>
              <a:ln w="19050">
                <a:solidFill>
                  <a:srgbClr val="C00000"/>
                </a:solidFill>
              </a:ln>
              <a:effectLst/>
            </c:spPr>
            <c:extLst>
              <c:ext xmlns:c16="http://schemas.microsoft.com/office/drawing/2014/chart" uri="{C3380CC4-5D6E-409C-BE32-E72D297353CC}">
                <c16:uniqueId val="{0000000B-CD23-1D4B-9866-89B3BDA3B109}"/>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Indicators!$C$1:$AB$1</c:f>
              <c:strCache>
                <c:ptCount val="26"/>
                <c:pt idx="0">
                  <c:v>Overall average</c:v>
                </c:pt>
                <c:pt idx="1">
                  <c:v>Jan-19</c:v>
                </c:pt>
                <c:pt idx="2">
                  <c:v>Feb-19</c:v>
                </c:pt>
                <c:pt idx="3">
                  <c:v>Mar-19</c:v>
                </c:pt>
                <c:pt idx="4">
                  <c:v>Apr-19</c:v>
                </c:pt>
                <c:pt idx="5">
                  <c:v>May-19</c:v>
                </c:pt>
                <c:pt idx="6">
                  <c:v>Jun-19</c:v>
                </c:pt>
                <c:pt idx="7">
                  <c:v>Jul-19</c:v>
                </c:pt>
                <c:pt idx="8">
                  <c:v>Aug-19</c:v>
                </c:pt>
                <c:pt idx="9">
                  <c:v>Sep-19</c:v>
                </c:pt>
                <c:pt idx="10">
                  <c:v>Oct-19</c:v>
                </c:pt>
                <c:pt idx="11">
                  <c:v>Nov-19</c:v>
                </c:pt>
                <c:pt idx="12">
                  <c:v>Dec-19</c:v>
                </c:pt>
                <c:pt idx="13">
                  <c:v>2020 average</c:v>
                </c:pt>
                <c:pt idx="14">
                  <c:v>Jan-20</c:v>
                </c:pt>
                <c:pt idx="15">
                  <c:v>Feb-20</c:v>
                </c:pt>
                <c:pt idx="16">
                  <c:v>Mar-20</c:v>
                </c:pt>
                <c:pt idx="17">
                  <c:v>Apr-20</c:v>
                </c:pt>
                <c:pt idx="18">
                  <c:v>May-20</c:v>
                </c:pt>
                <c:pt idx="19">
                  <c:v>Jun-20</c:v>
                </c:pt>
                <c:pt idx="20">
                  <c:v>Jul-20</c:v>
                </c:pt>
                <c:pt idx="21">
                  <c:v>Aug-20</c:v>
                </c:pt>
                <c:pt idx="22">
                  <c:v>Sep-20</c:v>
                </c:pt>
                <c:pt idx="23">
                  <c:v>Oct-20</c:v>
                </c:pt>
                <c:pt idx="24">
                  <c:v>Nov-20</c:v>
                </c:pt>
                <c:pt idx="25">
                  <c:v>Dec-20</c:v>
                </c:pt>
              </c:strCache>
            </c:strRef>
          </c:cat>
          <c:val>
            <c:numRef>
              <c:f>Indicators!$C$8:$AB$8</c:f>
              <c:numCache>
                <c:formatCode>0.0%</c:formatCode>
                <c:ptCount val="26"/>
                <c:pt idx="0">
                  <c:v>0.16670713938805246</c:v>
                </c:pt>
                <c:pt idx="1">
                  <c:v>0.1836283185840708</c:v>
                </c:pt>
                <c:pt idx="2">
                  <c:v>0.15384615384615385</c:v>
                </c:pt>
                <c:pt idx="3">
                  <c:v>0.19550561797752808</c:v>
                </c:pt>
                <c:pt idx="4">
                  <c:v>0.19951338199513383</c:v>
                </c:pt>
                <c:pt idx="5">
                  <c:v>0.18103448275862069</c:v>
                </c:pt>
                <c:pt idx="6">
                  <c:v>0.17289719626168223</c:v>
                </c:pt>
                <c:pt idx="7">
                  <c:v>0.18457943925233644</c:v>
                </c:pt>
                <c:pt idx="8">
                  <c:v>0.17647058823529413</c:v>
                </c:pt>
                <c:pt idx="9">
                  <c:v>0.15631691648822268</c:v>
                </c:pt>
                <c:pt idx="10">
                  <c:v>0.1407035175879397</c:v>
                </c:pt>
                <c:pt idx="11">
                  <c:v>0.17754569190600522</c:v>
                </c:pt>
                <c:pt idx="12">
                  <c:v>0.1791767554479419</c:v>
                </c:pt>
                <c:pt idx="13">
                  <c:v>0.15287826360490719</c:v>
                </c:pt>
                <c:pt idx="14">
                  <c:v>0.1471861471861472</c:v>
                </c:pt>
                <c:pt idx="15">
                  <c:v>0.14629258517034069</c:v>
                </c:pt>
                <c:pt idx="16">
                  <c:v>0.14538310412573674</c:v>
                </c:pt>
                <c:pt idx="17">
                  <c:v>0.14814814814814814</c:v>
                </c:pt>
                <c:pt idx="18">
                  <c:v>0.15886287625418061</c:v>
                </c:pt>
                <c:pt idx="19">
                  <c:v>0.1681260945709282</c:v>
                </c:pt>
                <c:pt idx="20">
                  <c:v>0</c:v>
                </c:pt>
                <c:pt idx="21">
                  <c:v>0</c:v>
                </c:pt>
                <c:pt idx="22">
                  <c:v>0</c:v>
                </c:pt>
                <c:pt idx="23">
                  <c:v>0</c:v>
                </c:pt>
                <c:pt idx="24">
                  <c:v>0</c:v>
                </c:pt>
                <c:pt idx="25">
                  <c:v>0</c:v>
                </c:pt>
              </c:numCache>
            </c:numRef>
          </c:val>
          <c:extLst>
            <c:ext xmlns:c16="http://schemas.microsoft.com/office/drawing/2014/chart" uri="{C3380CC4-5D6E-409C-BE32-E72D297353CC}">
              <c16:uniqueId val="{00000006-CD23-1D4B-9866-89B3BDA3B109}"/>
            </c:ext>
          </c:extLst>
        </c:ser>
        <c:dLbls>
          <c:showLegendKey val="0"/>
          <c:showVal val="0"/>
          <c:showCatName val="0"/>
          <c:showSerName val="0"/>
          <c:showPercent val="0"/>
          <c:showBubbleSize val="0"/>
        </c:dLbls>
        <c:gapWidth val="59"/>
        <c:overlap val="-27"/>
        <c:axId val="56938496"/>
        <c:axId val="56940032"/>
      </c:barChart>
      <c:catAx>
        <c:axId val="5693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56940032"/>
        <c:crosses val="autoZero"/>
        <c:auto val="1"/>
        <c:lblAlgn val="ctr"/>
        <c:lblOffset val="100"/>
        <c:noMultiLvlLbl val="0"/>
      </c:catAx>
      <c:valAx>
        <c:axId val="569400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56938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GB" sz="2000" b="1">
                <a:solidFill>
                  <a:schemeClr val="tx1"/>
                </a:solidFill>
              </a:rPr>
              <a:t>Mode</a:t>
            </a:r>
            <a:r>
              <a:rPr lang="en-GB" sz="2000" b="1" baseline="0">
                <a:solidFill>
                  <a:schemeClr val="tx1"/>
                </a:solidFill>
              </a:rPr>
              <a:t> of Delivery  in 2020</a:t>
            </a:r>
            <a:endParaRPr lang="en-GB" sz="2000" b="1">
              <a:solidFill>
                <a:schemeClr val="tx1"/>
              </a:solidFill>
            </a:endParaRPr>
          </a:p>
        </c:rich>
      </c:tx>
      <c:overlay val="0"/>
      <c:spPr>
        <a:noFill/>
        <a:ln>
          <a:noFill/>
        </a:ln>
        <a:effectLst/>
      </c:sp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8DCE-264C-8A81-AA94C03FD347}"/>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8DCE-264C-8A81-AA94C03FD347}"/>
              </c:ext>
            </c:extLst>
          </c:dPt>
          <c:dPt>
            <c:idx val="2"/>
            <c:bubble3D val="0"/>
            <c:explosion val="12"/>
            <c:spPr>
              <a:solidFill>
                <a:srgbClr val="C00000"/>
              </a:solidFill>
              <a:ln w="19050">
                <a:solidFill>
                  <a:schemeClr val="lt1"/>
                </a:solidFill>
              </a:ln>
              <a:effectLst/>
            </c:spPr>
            <c:extLst>
              <c:ext xmlns:c16="http://schemas.microsoft.com/office/drawing/2014/chart" uri="{C3380CC4-5D6E-409C-BE32-E72D297353CC}">
                <c16:uniqueId val="{00000005-8DCE-264C-8A81-AA94C03FD347}"/>
              </c:ext>
            </c:extLst>
          </c:dPt>
          <c:dLbls>
            <c:dLbl>
              <c:idx val="0"/>
              <c:layout>
                <c:manualLayout>
                  <c:x val="-0.20455231841407279"/>
                  <c:y val="-0.26578342243485925"/>
                </c:manualLayout>
              </c:layout>
              <c:tx>
                <c:rich>
                  <a:bodyPr rot="0" spcFirstLastPara="1" vertOverflow="ellipsis" vert="horz" wrap="square" lIns="38100" tIns="19050" rIns="38100" bIns="19050" anchor="ctr" anchorCtr="1">
                    <a:noAutofit/>
                  </a:bodyPr>
                  <a:lstStyle/>
                  <a:p>
                    <a:pPr>
                      <a:defRPr sz="1600" b="1" i="0" u="none" strike="noStrike" kern="1200" baseline="0">
                        <a:solidFill>
                          <a:srgbClr val="0070C0"/>
                        </a:solidFill>
                        <a:latin typeface="+mn-lt"/>
                        <a:ea typeface="+mn-ea"/>
                        <a:cs typeface="+mn-cs"/>
                      </a:defRPr>
                    </a:pPr>
                    <a:r>
                      <a:rPr lang="en-US" sz="1600" b="1">
                        <a:solidFill>
                          <a:schemeClr val="bg1"/>
                        </a:solidFill>
                      </a:rPr>
                      <a:t>Spontaneous vaginal deliveries</a:t>
                    </a:r>
                    <a:r>
                      <a:rPr lang="en-US" sz="1600" b="1" baseline="0">
                        <a:solidFill>
                          <a:schemeClr val="bg1"/>
                        </a:solidFill>
                      </a:rPr>
                      <a:t>, </a:t>
                    </a:r>
                    <a:fld id="{7D7AEDB8-E28F-474D-B889-3CAB01EAA516}" type="VALUE">
                      <a:rPr lang="en-US" sz="1600" b="1" baseline="0">
                        <a:solidFill>
                          <a:schemeClr val="bg1"/>
                        </a:solidFill>
                      </a:rPr>
                      <a:pPr>
                        <a:defRPr sz="1600" b="1" i="0" u="none" strike="noStrike" kern="1200" baseline="0">
                          <a:solidFill>
                            <a:srgbClr val="0070C0"/>
                          </a:solidFill>
                          <a:latin typeface="+mn-lt"/>
                          <a:ea typeface="+mn-ea"/>
                          <a:cs typeface="+mn-cs"/>
                        </a:defRPr>
                      </a:pPr>
                      <a:t>[VALUE]</a:t>
                    </a:fld>
                    <a:endParaRPr lang="en-US" sz="1600" b="1" baseline="0">
                      <a:solidFill>
                        <a:schemeClr val="bg1"/>
                      </a:solidFill>
                    </a:endParaRPr>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50939208685870785"/>
                      <c:h val="0.15145858666400874"/>
                    </c:manualLayout>
                  </c15:layout>
                  <c15:dlblFieldTable/>
                  <c15:showDataLabelsRange val="0"/>
                </c:ext>
                <c:ext xmlns:c16="http://schemas.microsoft.com/office/drawing/2014/chart" uri="{C3380CC4-5D6E-409C-BE32-E72D297353CC}">
                  <c16:uniqueId val="{00000001-8DCE-264C-8A81-AA94C03FD347}"/>
                </c:ext>
              </c:extLst>
            </c:dLbl>
            <c:dLbl>
              <c:idx val="1"/>
              <c:layout>
                <c:manualLayout>
                  <c:x val="-6.519235779087823E-2"/>
                  <c:y val="4.7073956158169693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rgbClr val="0070C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760029996250464"/>
                      <c:h val="9.071803049935212E-2"/>
                    </c:manualLayout>
                  </c15:layout>
                </c:ext>
                <c:ext xmlns:c16="http://schemas.microsoft.com/office/drawing/2014/chart" uri="{C3380CC4-5D6E-409C-BE32-E72D297353CC}">
                  <c16:uniqueId val="{00000003-8DCE-264C-8A81-AA94C03FD347}"/>
                </c:ext>
              </c:extLst>
            </c:dLbl>
            <c:dLbl>
              <c:idx val="2"/>
              <c:layout>
                <c:manualLayout>
                  <c:x val="2.6214868897845328E-2"/>
                  <c:y val="3.3180503150542558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rgbClr val="C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066373320981936"/>
                      <c:h val="9.7162691620069214E-2"/>
                    </c:manualLayout>
                  </c15:layout>
                </c:ext>
                <c:ext xmlns:c16="http://schemas.microsoft.com/office/drawing/2014/chart" uri="{C3380CC4-5D6E-409C-BE32-E72D297353CC}">
                  <c16:uniqueId val="{00000005-8DCE-264C-8A81-AA94C03FD347}"/>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Indicators!$O$19:$O$21</c:f>
              <c:strCache>
                <c:ptCount val="3"/>
                <c:pt idx="0">
                  <c:v>SVDs</c:v>
                </c:pt>
                <c:pt idx="1">
                  <c:v>Assisted</c:v>
                </c:pt>
                <c:pt idx="2">
                  <c:v>C-Sections</c:v>
                </c:pt>
              </c:strCache>
            </c:strRef>
          </c:cat>
          <c:val>
            <c:numRef>
              <c:f>Indicators!$P$19:$P$21</c:f>
              <c:numCache>
                <c:formatCode>0.0%</c:formatCode>
                <c:ptCount val="3"/>
                <c:pt idx="0">
                  <c:v>0.83296634161686067</c:v>
                </c:pt>
                <c:pt idx="1">
                  <c:v>1.4155394778232149E-2</c:v>
                </c:pt>
                <c:pt idx="2">
                  <c:v>0.15287826360490719</c:v>
                </c:pt>
              </c:numCache>
            </c:numRef>
          </c:val>
          <c:extLst>
            <c:ext xmlns:c16="http://schemas.microsoft.com/office/drawing/2014/chart" uri="{C3380CC4-5D6E-409C-BE32-E72D297353CC}">
              <c16:uniqueId val="{00000006-8DCE-264C-8A81-AA94C03FD34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1"/>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rgbClr val="C00000"/>
                </a:solidFill>
                <a:latin typeface="+mn-lt"/>
                <a:ea typeface="+mn-ea"/>
                <a:cs typeface="+mn-cs"/>
              </a:defRPr>
            </a:pPr>
            <a:r>
              <a:rPr lang="en-US" sz="2400" b="1">
                <a:solidFill>
                  <a:srgbClr val="C00000"/>
                </a:solidFill>
              </a:rPr>
              <a:t>Institutional Maternal Deaths</a:t>
            </a:r>
          </a:p>
        </c:rich>
      </c:tx>
      <c:overlay val="0"/>
      <c:spPr>
        <a:noFill/>
        <a:ln>
          <a:noFill/>
        </a:ln>
        <a:effectLst/>
      </c:spPr>
    </c:title>
    <c:autoTitleDeleted val="0"/>
    <c:plotArea>
      <c:layout/>
      <c:barChart>
        <c:barDir val="col"/>
        <c:grouping val="clustered"/>
        <c:varyColors val="0"/>
        <c:ser>
          <c:idx val="0"/>
          <c:order val="0"/>
          <c:tx>
            <c:strRef>
              <c:f>Indicators!$A$15:$B$15</c:f>
              <c:strCache>
                <c:ptCount val="2"/>
                <c:pt idx="0">
                  <c:v>Key Institutional Indicators</c:v>
                </c:pt>
                <c:pt idx="1">
                  <c:v>Maternal Deaths</c:v>
                </c:pt>
              </c:strCache>
            </c:strRef>
          </c:tx>
          <c:spPr>
            <a:solidFill>
              <a:srgbClr val="FF0000"/>
            </a:solidFill>
            <a:ln>
              <a:noFill/>
            </a:ln>
            <a:effectLst/>
          </c:spPr>
          <c:invertIfNegative val="0"/>
          <c:dPt>
            <c:idx val="0"/>
            <c:invertIfNegative val="0"/>
            <c:bubble3D val="0"/>
            <c:spPr>
              <a:pattFill prst="trellis">
                <a:fgClr>
                  <a:srgbClr val="FF2F92"/>
                </a:fgClr>
                <a:bgClr>
                  <a:schemeClr val="bg1"/>
                </a:bgClr>
              </a:pattFill>
              <a:ln>
                <a:noFill/>
              </a:ln>
              <a:effectLst/>
            </c:spPr>
            <c:extLst>
              <c:ext xmlns:c16="http://schemas.microsoft.com/office/drawing/2014/chart" uri="{C3380CC4-5D6E-409C-BE32-E72D297353CC}">
                <c16:uniqueId val="{00000002-BCAE-4345-8A66-5C78381CF3E8}"/>
              </c:ext>
            </c:extLst>
          </c:dPt>
          <c:dPt>
            <c:idx val="13"/>
            <c:invertIfNegative val="0"/>
            <c:bubble3D val="0"/>
            <c:spPr>
              <a:pattFill prst="trellis">
                <a:fgClr>
                  <a:srgbClr val="00FA00"/>
                </a:fgClr>
                <a:bgClr>
                  <a:schemeClr val="bg1"/>
                </a:bgClr>
              </a:pattFill>
              <a:ln>
                <a:noFill/>
              </a:ln>
              <a:effectLst/>
            </c:spPr>
            <c:extLst>
              <c:ext xmlns:c16="http://schemas.microsoft.com/office/drawing/2014/chart" uri="{C3380CC4-5D6E-409C-BE32-E72D297353CC}">
                <c16:uniqueId val="{00000001-BCAE-4345-8A66-5C78381CF3E8}"/>
              </c:ext>
            </c:extLst>
          </c:dPt>
          <c:dPt>
            <c:idx val="24"/>
            <c:invertIfNegative val="0"/>
            <c:bubble3D val="0"/>
            <c:spPr>
              <a:solidFill>
                <a:schemeClr val="bg1"/>
              </a:solidFill>
              <a:ln>
                <a:noFill/>
              </a:ln>
              <a:effectLst/>
            </c:spPr>
            <c:extLst>
              <c:ext xmlns:c16="http://schemas.microsoft.com/office/drawing/2014/chart" uri="{C3380CC4-5D6E-409C-BE32-E72D297353CC}">
                <c16:uniqueId val="{00000003-BCAE-4345-8A66-5C78381CF3E8}"/>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Indicators!$C$14:$AB$14</c:f>
              <c:strCache>
                <c:ptCount val="26"/>
                <c:pt idx="0">
                  <c:v>Annual Total</c:v>
                </c:pt>
                <c:pt idx="1">
                  <c:v>Jan-19</c:v>
                </c:pt>
                <c:pt idx="2">
                  <c:v>Feb-19</c:v>
                </c:pt>
                <c:pt idx="3">
                  <c:v>Mar-19</c:v>
                </c:pt>
                <c:pt idx="4">
                  <c:v>Apr-19</c:v>
                </c:pt>
                <c:pt idx="5">
                  <c:v>May-19</c:v>
                </c:pt>
                <c:pt idx="6">
                  <c:v>Jun-19</c:v>
                </c:pt>
                <c:pt idx="7">
                  <c:v>Jul-19</c:v>
                </c:pt>
                <c:pt idx="8">
                  <c:v>Aug-19</c:v>
                </c:pt>
                <c:pt idx="9">
                  <c:v>Sep-19</c:v>
                </c:pt>
                <c:pt idx="10">
                  <c:v>Oct-19</c:v>
                </c:pt>
                <c:pt idx="11">
                  <c:v>Nov-19</c:v>
                </c:pt>
                <c:pt idx="12">
                  <c:v>Dec-19</c:v>
                </c:pt>
                <c:pt idx="14">
                  <c:v>Jan-20</c:v>
                </c:pt>
                <c:pt idx="15">
                  <c:v>Feb-20</c:v>
                </c:pt>
                <c:pt idx="16">
                  <c:v>Mar-20</c:v>
                </c:pt>
                <c:pt idx="17">
                  <c:v>Apr-20</c:v>
                </c:pt>
                <c:pt idx="18">
                  <c:v>May-20</c:v>
                </c:pt>
                <c:pt idx="19">
                  <c:v>Jun-20</c:v>
                </c:pt>
                <c:pt idx="20">
                  <c:v>Jul-20</c:v>
                </c:pt>
                <c:pt idx="21">
                  <c:v>Aug-20</c:v>
                </c:pt>
                <c:pt idx="22">
                  <c:v>Sep-20</c:v>
                </c:pt>
                <c:pt idx="23">
                  <c:v>Oct-20</c:v>
                </c:pt>
                <c:pt idx="24">
                  <c:v>Nov-20</c:v>
                </c:pt>
                <c:pt idx="25">
                  <c:v>Dec-20</c:v>
                </c:pt>
              </c:strCache>
            </c:strRef>
          </c:cat>
          <c:val>
            <c:numRef>
              <c:f>Indicators!$C$15:$AB$15</c:f>
              <c:numCache>
                <c:formatCode>General</c:formatCode>
                <c:ptCount val="26"/>
                <c:pt idx="0">
                  <c:v>20</c:v>
                </c:pt>
                <c:pt idx="1">
                  <c:v>0</c:v>
                </c:pt>
                <c:pt idx="2">
                  <c:v>2</c:v>
                </c:pt>
                <c:pt idx="3">
                  <c:v>2</c:v>
                </c:pt>
                <c:pt idx="4">
                  <c:v>1</c:v>
                </c:pt>
                <c:pt idx="5">
                  <c:v>3</c:v>
                </c:pt>
                <c:pt idx="6">
                  <c:v>1</c:v>
                </c:pt>
                <c:pt idx="7">
                  <c:v>1</c:v>
                </c:pt>
                <c:pt idx="8">
                  <c:v>2</c:v>
                </c:pt>
                <c:pt idx="9">
                  <c:v>2</c:v>
                </c:pt>
                <c:pt idx="10">
                  <c:v>1</c:v>
                </c:pt>
                <c:pt idx="11">
                  <c:v>0</c:v>
                </c:pt>
                <c:pt idx="12">
                  <c:v>1</c:v>
                </c:pt>
                <c:pt idx="13">
                  <c:v>4</c:v>
                </c:pt>
                <c:pt idx="14">
                  <c:v>1</c:v>
                </c:pt>
                <c:pt idx="15">
                  <c:v>1</c:v>
                </c:pt>
                <c:pt idx="16">
                  <c:v>0</c:v>
                </c:pt>
                <c:pt idx="17">
                  <c:v>0</c:v>
                </c:pt>
                <c:pt idx="18">
                  <c:v>0</c:v>
                </c:pt>
                <c:pt idx="19">
                  <c:v>2</c:v>
                </c:pt>
                <c:pt idx="20">
                  <c:v>0</c:v>
                </c:pt>
                <c:pt idx="21">
                  <c:v>0</c:v>
                </c:pt>
                <c:pt idx="22">
                  <c:v>0</c:v>
                </c:pt>
                <c:pt idx="23">
                  <c:v>0</c:v>
                </c:pt>
                <c:pt idx="24">
                  <c:v>0</c:v>
                </c:pt>
                <c:pt idx="25">
                  <c:v>0</c:v>
                </c:pt>
              </c:numCache>
            </c:numRef>
          </c:val>
          <c:extLst>
            <c:ext xmlns:c16="http://schemas.microsoft.com/office/drawing/2014/chart" uri="{C3380CC4-5D6E-409C-BE32-E72D297353CC}">
              <c16:uniqueId val="{00000000-BCAE-4345-8A66-5C78381CF3E8}"/>
            </c:ext>
          </c:extLst>
        </c:ser>
        <c:dLbls>
          <c:showLegendKey val="0"/>
          <c:showVal val="0"/>
          <c:showCatName val="0"/>
          <c:showSerName val="0"/>
          <c:showPercent val="0"/>
          <c:showBubbleSize val="0"/>
        </c:dLbls>
        <c:gapWidth val="47"/>
        <c:overlap val="-27"/>
        <c:axId val="59130240"/>
        <c:axId val="59131776"/>
      </c:barChart>
      <c:catAx>
        <c:axId val="5913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59131776"/>
        <c:crosses val="autoZero"/>
        <c:auto val="1"/>
        <c:lblAlgn val="ctr"/>
        <c:lblOffset val="100"/>
        <c:noMultiLvlLbl val="0"/>
      </c:catAx>
      <c:valAx>
        <c:axId val="5913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59130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56000">
          <a:schemeClr val="accent1">
            <a:lumMod val="67000"/>
          </a:schemeClr>
        </a:gs>
        <a:gs pos="94000">
          <a:schemeClr val="accent1">
            <a:lumMod val="97000"/>
            <a:lumOff val="3000"/>
          </a:schemeClr>
        </a:gs>
        <a:gs pos="100000">
          <a:schemeClr val="accent1">
            <a:lumMod val="60000"/>
            <a:lumOff val="40000"/>
          </a:schemeClr>
        </a:gs>
      </a:gsLst>
      <a:lin ang="162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67" l="0.70000000000000062" r="0.70000000000000062" t="0.75000000000000167"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tiff"/><Relationship Id="rId2" Type="http://schemas.openxmlformats.org/officeDocument/2006/relationships/hyperlink" Target="#Navigation!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Aug!A1"/><Relationship Id="rId13" Type="http://schemas.openxmlformats.org/officeDocument/2006/relationships/hyperlink" Target="#'Perinatal Deaths'!A1"/><Relationship Id="rId18" Type="http://schemas.openxmlformats.org/officeDocument/2006/relationships/hyperlink" Target="#'Maternal Deaths'!A1"/><Relationship Id="rId26" Type="http://schemas.openxmlformats.org/officeDocument/2006/relationships/hyperlink" Target="#'Oct20'!A1"/><Relationship Id="rId3" Type="http://schemas.openxmlformats.org/officeDocument/2006/relationships/hyperlink" Target="#Mar!A1"/><Relationship Id="rId21" Type="http://schemas.openxmlformats.org/officeDocument/2006/relationships/hyperlink" Target="#'Feb20'!A1"/><Relationship Id="rId7" Type="http://schemas.openxmlformats.org/officeDocument/2006/relationships/hyperlink" Target="#Jul!A1"/><Relationship Id="rId12" Type="http://schemas.openxmlformats.org/officeDocument/2006/relationships/hyperlink" Target="#Dec!A1"/><Relationship Id="rId17" Type="http://schemas.openxmlformats.org/officeDocument/2006/relationships/hyperlink" Target="#'Preterm&amp;LBW'!A1"/><Relationship Id="rId25" Type="http://schemas.openxmlformats.org/officeDocument/2006/relationships/hyperlink" Target="#'Aug20'!A1"/><Relationship Id="rId2" Type="http://schemas.openxmlformats.org/officeDocument/2006/relationships/hyperlink" Target="#Feb!A1"/><Relationship Id="rId16" Type="http://schemas.openxmlformats.org/officeDocument/2006/relationships/hyperlink" Target="#'Delivery Stats'!A1"/><Relationship Id="rId20" Type="http://schemas.openxmlformats.org/officeDocument/2006/relationships/hyperlink" Target="#'Jan20'!A1"/><Relationship Id="rId29" Type="http://schemas.openxmlformats.org/officeDocument/2006/relationships/hyperlink" Target="#'Jul20'!A1"/><Relationship Id="rId1" Type="http://schemas.openxmlformats.org/officeDocument/2006/relationships/hyperlink" Target="#Jan!A1"/><Relationship Id="rId6" Type="http://schemas.openxmlformats.org/officeDocument/2006/relationships/hyperlink" Target="#Jun!A1"/><Relationship Id="rId11" Type="http://schemas.openxmlformats.org/officeDocument/2006/relationships/hyperlink" Target="#Nov!A1"/><Relationship Id="rId24" Type="http://schemas.openxmlformats.org/officeDocument/2006/relationships/hyperlink" Target="#'Jun20'!A1"/><Relationship Id="rId5" Type="http://schemas.openxmlformats.org/officeDocument/2006/relationships/hyperlink" Target="#May!A1"/><Relationship Id="rId15" Type="http://schemas.openxmlformats.org/officeDocument/2006/relationships/hyperlink" Target="#Stillbirths!A1"/><Relationship Id="rId23" Type="http://schemas.openxmlformats.org/officeDocument/2006/relationships/hyperlink" Target="#'Apr20'!A1"/><Relationship Id="rId28" Type="http://schemas.openxmlformats.org/officeDocument/2006/relationships/hyperlink" Target="#'May20'!A1"/><Relationship Id="rId10" Type="http://schemas.openxmlformats.org/officeDocument/2006/relationships/hyperlink" Target="#Oct!A1"/><Relationship Id="rId19" Type="http://schemas.openxmlformats.org/officeDocument/2006/relationships/hyperlink" Target="#Indicators!A1"/><Relationship Id="rId31" Type="http://schemas.openxmlformats.org/officeDocument/2006/relationships/hyperlink" Target="#'Nov20'!A1"/><Relationship Id="rId4" Type="http://schemas.openxmlformats.org/officeDocument/2006/relationships/hyperlink" Target="#Apr!A1"/><Relationship Id="rId9" Type="http://schemas.openxmlformats.org/officeDocument/2006/relationships/hyperlink" Target="#Sep!A1"/><Relationship Id="rId14" Type="http://schemas.openxmlformats.org/officeDocument/2006/relationships/hyperlink" Target="#'Neonatal deaths'!A1"/><Relationship Id="rId22" Type="http://schemas.openxmlformats.org/officeDocument/2006/relationships/hyperlink" Target="#'Mar20'!A1"/><Relationship Id="rId27" Type="http://schemas.openxmlformats.org/officeDocument/2006/relationships/hyperlink" Target="#'Dec20'!A1"/><Relationship Id="rId30" Type="http://schemas.openxmlformats.org/officeDocument/2006/relationships/hyperlink" Target="#'Sep20'!A1"/></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xdr:col>
      <xdr:colOff>127000</xdr:colOff>
      <xdr:row>3</xdr:row>
      <xdr:rowOff>158750</xdr:rowOff>
    </xdr:from>
    <xdr:to>
      <xdr:col>20</xdr:col>
      <xdr:colOff>720239</xdr:colOff>
      <xdr:row>48</xdr:row>
      <xdr:rowOff>36285</xdr:rowOff>
    </xdr:to>
    <xdr:pic>
      <xdr:nvPicPr>
        <xdr:cNvPr id="2" name="Picture 1">
          <a:extLst>
            <a:ext uri="{FF2B5EF4-FFF2-40B4-BE49-F238E27FC236}">
              <a16:creationId xmlns:a16="http://schemas.microsoft.com/office/drawing/2014/main" id="{C8FAB566-206B-BF48-B4D6-9632FAEEF024}"/>
            </a:ext>
          </a:extLst>
        </xdr:cNvPr>
        <xdr:cNvPicPr>
          <a:picLocks noChangeAspect="1"/>
        </xdr:cNvPicPr>
      </xdr:nvPicPr>
      <xdr:blipFill>
        <a:blip xmlns:r="http://schemas.openxmlformats.org/officeDocument/2006/relationships" r:embed="rId1" cstate="print"/>
        <a:stretch>
          <a:fillRect/>
        </a:stretch>
      </xdr:blipFill>
      <xdr:spPr>
        <a:xfrm>
          <a:off x="943429" y="757464"/>
          <a:ext cx="16105381" cy="8858250"/>
        </a:xfrm>
        <a:prstGeom prst="rect">
          <a:avLst/>
        </a:prstGeom>
      </xdr:spPr>
    </xdr:pic>
    <xdr:clientData/>
  </xdr:twoCellAnchor>
  <xdr:twoCellAnchor>
    <xdr:from>
      <xdr:col>22</xdr:col>
      <xdr:colOff>604156</xdr:colOff>
      <xdr:row>20</xdr:row>
      <xdr:rowOff>91167</xdr:rowOff>
    </xdr:from>
    <xdr:to>
      <xdr:col>24</xdr:col>
      <xdr:colOff>687160</xdr:colOff>
      <xdr:row>29</xdr:row>
      <xdr:rowOff>24493</xdr:rowOff>
    </xdr:to>
    <xdr:sp macro="" textlink="">
      <xdr:nvSpPr>
        <xdr:cNvPr id="3" name="Oval 2">
          <a:hlinkClick xmlns:r="http://schemas.openxmlformats.org/officeDocument/2006/relationships" r:id="rId2"/>
          <a:extLst>
            <a:ext uri="{FF2B5EF4-FFF2-40B4-BE49-F238E27FC236}">
              <a16:creationId xmlns:a16="http://schemas.microsoft.com/office/drawing/2014/main" id="{D0A30CC0-D0B6-8A4D-89C5-68765C8EF6BF}"/>
            </a:ext>
          </a:extLst>
        </xdr:cNvPr>
        <xdr:cNvSpPr/>
      </xdr:nvSpPr>
      <xdr:spPr>
        <a:xfrm>
          <a:off x="18565585" y="4082596"/>
          <a:ext cx="1715861" cy="1729468"/>
        </a:xfrm>
        <a:prstGeom prst="ellipse">
          <a:avLst/>
        </a:prstGeom>
        <a:solidFill>
          <a:srgbClr val="00B050"/>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2800" b="1"/>
            <a:t>START</a:t>
          </a:r>
        </a:p>
      </xdr:txBody>
    </xdr:sp>
    <xdr:clientData/>
  </xdr:twoCellAnchor>
  <xdr:twoCellAnchor editAs="oneCell">
    <xdr:from>
      <xdr:col>12</xdr:col>
      <xdr:colOff>58963</xdr:colOff>
      <xdr:row>34</xdr:row>
      <xdr:rowOff>172357</xdr:rowOff>
    </xdr:from>
    <xdr:to>
      <xdr:col>14</xdr:col>
      <xdr:colOff>429341</xdr:colOff>
      <xdr:row>45</xdr:row>
      <xdr:rowOff>63963</xdr:rowOff>
    </xdr:to>
    <xdr:pic>
      <xdr:nvPicPr>
        <xdr:cNvPr id="5" name="Picture 4">
          <a:extLst>
            <a:ext uri="{FF2B5EF4-FFF2-40B4-BE49-F238E27FC236}">
              <a16:creationId xmlns:a16="http://schemas.microsoft.com/office/drawing/2014/main" id="{FD6D1FCA-BFB3-6945-BA08-40171E9BA459}"/>
            </a:ext>
          </a:extLst>
        </xdr:cNvPr>
        <xdr:cNvPicPr>
          <a:picLocks noChangeAspect="1"/>
        </xdr:cNvPicPr>
      </xdr:nvPicPr>
      <xdr:blipFill>
        <a:blip xmlns:r="http://schemas.openxmlformats.org/officeDocument/2006/relationships" r:embed="rId3" cstate="print"/>
        <a:stretch>
          <a:fillRect/>
        </a:stretch>
      </xdr:blipFill>
      <xdr:spPr>
        <a:xfrm>
          <a:off x="9856106" y="6957786"/>
          <a:ext cx="2003235" cy="20868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172357</xdr:colOff>
      <xdr:row>0</xdr:row>
      <xdr:rowOff>199570</xdr:rowOff>
    </xdr:from>
    <xdr:to>
      <xdr:col>12</xdr:col>
      <xdr:colOff>399142</xdr:colOff>
      <xdr:row>28</xdr:row>
      <xdr:rowOff>6530</xdr:rowOff>
    </xdr:to>
    <xdr:sp macro="" textlink="">
      <xdr:nvSpPr>
        <xdr:cNvPr id="3" name="Rectangle 2">
          <a:extLst>
            <a:ext uri="{FF2B5EF4-FFF2-40B4-BE49-F238E27FC236}">
              <a16:creationId xmlns:a16="http://schemas.microsoft.com/office/drawing/2014/main" id="{2325C1DF-BB67-40C3-B794-32001903DAE2}"/>
            </a:ext>
          </a:extLst>
        </xdr:cNvPr>
        <xdr:cNvSpPr/>
      </xdr:nvSpPr>
      <xdr:spPr>
        <a:xfrm>
          <a:off x="4287157" y="199570"/>
          <a:ext cx="4341585" cy="6102985"/>
        </a:xfrm>
        <a:prstGeom prst="rect">
          <a:avLst/>
        </a:prstGeom>
        <a:solidFill>
          <a:srgbClr val="76D6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414623</xdr:colOff>
      <xdr:row>0</xdr:row>
      <xdr:rowOff>59530</xdr:rowOff>
    </xdr:from>
    <xdr:to>
      <xdr:col>6</xdr:col>
      <xdr:colOff>101600</xdr:colOff>
      <xdr:row>31</xdr:row>
      <xdr:rowOff>127000</xdr:rowOff>
    </xdr:to>
    <xdr:sp macro="" textlink="">
      <xdr:nvSpPr>
        <xdr:cNvPr id="18" name="Rectangle 17">
          <a:extLst>
            <a:ext uri="{FF2B5EF4-FFF2-40B4-BE49-F238E27FC236}">
              <a16:creationId xmlns:a16="http://schemas.microsoft.com/office/drawing/2014/main" id="{67AD9EFF-040D-C849-AB16-28D5E1CECF78}"/>
            </a:ext>
          </a:extLst>
        </xdr:cNvPr>
        <xdr:cNvSpPr/>
      </xdr:nvSpPr>
      <xdr:spPr>
        <a:xfrm>
          <a:off x="414623" y="59530"/>
          <a:ext cx="3801777" cy="7090570"/>
        </a:xfrm>
        <a:prstGeom prst="rect">
          <a:avLst/>
        </a:prstGeom>
        <a:solidFill>
          <a:srgbClr val="76D6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72571</xdr:colOff>
      <xdr:row>1</xdr:row>
      <xdr:rowOff>181429</xdr:rowOff>
    </xdr:from>
    <xdr:to>
      <xdr:col>5</xdr:col>
      <xdr:colOff>308428</xdr:colOff>
      <xdr:row>5</xdr:row>
      <xdr:rowOff>72572</xdr:rowOff>
    </xdr:to>
    <xdr:sp macro="" textlink="">
      <xdr:nvSpPr>
        <xdr:cNvPr id="4" name="Rounded Rectangle 3">
          <a:extLst>
            <a:ext uri="{FF2B5EF4-FFF2-40B4-BE49-F238E27FC236}">
              <a16:creationId xmlns:a16="http://schemas.microsoft.com/office/drawing/2014/main" id="{DF6A9978-DFD5-4349-AF51-EED7089471E1}"/>
            </a:ext>
          </a:extLst>
        </xdr:cNvPr>
        <xdr:cNvSpPr/>
      </xdr:nvSpPr>
      <xdr:spPr>
        <a:xfrm>
          <a:off x="762000" y="381000"/>
          <a:ext cx="2993571" cy="689429"/>
        </a:xfrm>
        <a:prstGeom prst="roundRect">
          <a:avLst/>
        </a:prstGeom>
        <a:solidFill>
          <a:srgbClr val="94165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Data Capture</a:t>
          </a:r>
        </a:p>
      </xdr:txBody>
    </xdr:sp>
    <xdr:clientData/>
  </xdr:twoCellAnchor>
  <xdr:twoCellAnchor>
    <xdr:from>
      <xdr:col>1</xdr:col>
      <xdr:colOff>57589</xdr:colOff>
      <xdr:row>5</xdr:row>
      <xdr:rowOff>182120</xdr:rowOff>
    </xdr:from>
    <xdr:to>
      <xdr:col>2</xdr:col>
      <xdr:colOff>563419</xdr:colOff>
      <xdr:row>7</xdr:row>
      <xdr:rowOff>134024</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8534FB6F-5545-4FA3-954B-E383A608B1DF}"/>
            </a:ext>
          </a:extLst>
        </xdr:cNvPr>
        <xdr:cNvSpPr/>
      </xdr:nvSpPr>
      <xdr:spPr>
        <a:xfrm>
          <a:off x="743389" y="1198120"/>
          <a:ext cx="1191630" cy="37100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January19</a:t>
          </a:r>
        </a:p>
      </xdr:txBody>
    </xdr:sp>
    <xdr:clientData/>
  </xdr:twoCellAnchor>
  <xdr:twoCellAnchor>
    <xdr:from>
      <xdr:col>3</xdr:col>
      <xdr:colOff>457640</xdr:colOff>
      <xdr:row>5</xdr:row>
      <xdr:rowOff>182120</xdr:rowOff>
    </xdr:from>
    <xdr:to>
      <xdr:col>5</xdr:col>
      <xdr:colOff>274041</xdr:colOff>
      <xdr:row>7</xdr:row>
      <xdr:rowOff>134024</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B6D3C04B-0E38-419E-B32E-9C7F1179CCD2}"/>
            </a:ext>
          </a:extLst>
        </xdr:cNvPr>
        <xdr:cNvSpPr/>
      </xdr:nvSpPr>
      <xdr:spPr>
        <a:xfrm>
          <a:off x="2515040" y="1198120"/>
          <a:ext cx="1188001" cy="37100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February19</a:t>
          </a:r>
        </a:p>
      </xdr:txBody>
    </xdr:sp>
    <xdr:clientData/>
  </xdr:twoCellAnchor>
  <xdr:twoCellAnchor>
    <xdr:from>
      <xdr:col>1</xdr:col>
      <xdr:colOff>57589</xdr:colOff>
      <xdr:row>7</xdr:row>
      <xdr:rowOff>264510</xdr:rowOff>
    </xdr:from>
    <xdr:to>
      <xdr:col>2</xdr:col>
      <xdr:colOff>563419</xdr:colOff>
      <xdr:row>9</xdr:row>
      <xdr:rowOff>127060</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D51312F3-CCE3-4871-9E6B-C4BE5D43DB67}"/>
            </a:ext>
          </a:extLst>
        </xdr:cNvPr>
        <xdr:cNvSpPr/>
      </xdr:nvSpPr>
      <xdr:spPr>
        <a:xfrm>
          <a:off x="743389" y="1699610"/>
          <a:ext cx="1191630" cy="3705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March19</a:t>
          </a:r>
        </a:p>
      </xdr:txBody>
    </xdr:sp>
    <xdr:clientData/>
  </xdr:twoCellAnchor>
  <xdr:twoCellAnchor>
    <xdr:from>
      <xdr:col>3</xdr:col>
      <xdr:colOff>457640</xdr:colOff>
      <xdr:row>7</xdr:row>
      <xdr:rowOff>264328</xdr:rowOff>
    </xdr:from>
    <xdr:to>
      <xdr:col>5</xdr:col>
      <xdr:colOff>274041</xdr:colOff>
      <xdr:row>9</xdr:row>
      <xdr:rowOff>127331</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E46A1F43-7073-4E8F-96D8-294413554B77}"/>
            </a:ext>
          </a:extLst>
        </xdr:cNvPr>
        <xdr:cNvSpPr/>
      </xdr:nvSpPr>
      <xdr:spPr>
        <a:xfrm>
          <a:off x="2515040" y="1699428"/>
          <a:ext cx="1188001" cy="371003"/>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April19</a:t>
          </a:r>
        </a:p>
      </xdr:txBody>
    </xdr:sp>
    <xdr:clientData/>
  </xdr:twoCellAnchor>
  <xdr:twoCellAnchor>
    <xdr:from>
      <xdr:col>1</xdr:col>
      <xdr:colOff>57589</xdr:colOff>
      <xdr:row>10</xdr:row>
      <xdr:rowOff>16246</xdr:rowOff>
    </xdr:from>
    <xdr:to>
      <xdr:col>2</xdr:col>
      <xdr:colOff>563419</xdr:colOff>
      <xdr:row>11</xdr:row>
      <xdr:rowOff>103768</xdr:rowOff>
    </xdr:to>
    <xdr:sp macro="" textlink="">
      <xdr:nvSpPr>
        <xdr:cNvPr id="10" name="Rectangle: Rounded Corners 9">
          <a:hlinkClick xmlns:r="http://schemas.openxmlformats.org/officeDocument/2006/relationships" r:id="rId5"/>
          <a:extLst>
            <a:ext uri="{FF2B5EF4-FFF2-40B4-BE49-F238E27FC236}">
              <a16:creationId xmlns:a16="http://schemas.microsoft.com/office/drawing/2014/main" id="{55F91330-D808-4A3A-88D7-4962E85FDD42}"/>
            </a:ext>
          </a:extLst>
        </xdr:cNvPr>
        <xdr:cNvSpPr/>
      </xdr:nvSpPr>
      <xdr:spPr>
        <a:xfrm>
          <a:off x="743389" y="2200646"/>
          <a:ext cx="1191630" cy="328822"/>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May19</a:t>
          </a:r>
        </a:p>
      </xdr:txBody>
    </xdr:sp>
    <xdr:clientData/>
  </xdr:twoCellAnchor>
  <xdr:twoCellAnchor>
    <xdr:from>
      <xdr:col>3</xdr:col>
      <xdr:colOff>457640</xdr:colOff>
      <xdr:row>10</xdr:row>
      <xdr:rowOff>16335</xdr:rowOff>
    </xdr:from>
    <xdr:to>
      <xdr:col>5</xdr:col>
      <xdr:colOff>274041</xdr:colOff>
      <xdr:row>11</xdr:row>
      <xdr:rowOff>103857</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17B96419-00F0-4844-8A18-7A1804B665E7}"/>
            </a:ext>
          </a:extLst>
        </xdr:cNvPr>
        <xdr:cNvSpPr/>
      </xdr:nvSpPr>
      <xdr:spPr>
        <a:xfrm>
          <a:off x="2515040" y="2200735"/>
          <a:ext cx="1188001" cy="328822"/>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June19</a:t>
          </a:r>
        </a:p>
      </xdr:txBody>
    </xdr:sp>
    <xdr:clientData/>
  </xdr:twoCellAnchor>
  <xdr:twoCellAnchor>
    <xdr:from>
      <xdr:col>1</xdr:col>
      <xdr:colOff>57589</xdr:colOff>
      <xdr:row>11</xdr:row>
      <xdr:rowOff>234254</xdr:rowOff>
    </xdr:from>
    <xdr:to>
      <xdr:col>2</xdr:col>
      <xdr:colOff>563419</xdr:colOff>
      <xdr:row>13</xdr:row>
      <xdr:rowOff>122657</xdr:rowOff>
    </xdr:to>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C151F03D-8F2D-47C7-8DC5-4B3E06C9C459}"/>
            </a:ext>
          </a:extLst>
        </xdr:cNvPr>
        <xdr:cNvSpPr/>
      </xdr:nvSpPr>
      <xdr:spPr>
        <a:xfrm>
          <a:off x="743389" y="2659954"/>
          <a:ext cx="1191630" cy="371003"/>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July19</a:t>
          </a:r>
        </a:p>
      </xdr:txBody>
    </xdr:sp>
    <xdr:clientData/>
  </xdr:twoCellAnchor>
  <xdr:twoCellAnchor>
    <xdr:from>
      <xdr:col>3</xdr:col>
      <xdr:colOff>457640</xdr:colOff>
      <xdr:row>11</xdr:row>
      <xdr:rowOff>234161</xdr:rowOff>
    </xdr:from>
    <xdr:to>
      <xdr:col>5</xdr:col>
      <xdr:colOff>274041</xdr:colOff>
      <xdr:row>13</xdr:row>
      <xdr:rowOff>122111</xdr:rowOff>
    </xdr:to>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55A90768-B3E9-45D9-8129-90860020898B}"/>
            </a:ext>
          </a:extLst>
        </xdr:cNvPr>
        <xdr:cNvSpPr/>
      </xdr:nvSpPr>
      <xdr:spPr>
        <a:xfrm>
          <a:off x="2515040" y="2659861"/>
          <a:ext cx="1188001" cy="3705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August19</a:t>
          </a:r>
        </a:p>
      </xdr:txBody>
    </xdr:sp>
    <xdr:clientData/>
  </xdr:twoCellAnchor>
  <xdr:twoCellAnchor>
    <xdr:from>
      <xdr:col>1</xdr:col>
      <xdr:colOff>57589</xdr:colOff>
      <xdr:row>14</xdr:row>
      <xdr:rowOff>11843</xdr:rowOff>
    </xdr:from>
    <xdr:to>
      <xdr:col>2</xdr:col>
      <xdr:colOff>563419</xdr:colOff>
      <xdr:row>15</xdr:row>
      <xdr:rowOff>61265</xdr:rowOff>
    </xdr:to>
    <xdr:sp macro="" textlink="">
      <xdr:nvSpPr>
        <xdr:cNvPr id="14" name="Rectangle: Rounded Corners 13">
          <a:hlinkClick xmlns:r="http://schemas.openxmlformats.org/officeDocument/2006/relationships" r:id="rId9"/>
          <a:extLst>
            <a:ext uri="{FF2B5EF4-FFF2-40B4-BE49-F238E27FC236}">
              <a16:creationId xmlns:a16="http://schemas.microsoft.com/office/drawing/2014/main" id="{1485B525-55DB-41FD-A946-0F3220C8EB08}"/>
            </a:ext>
          </a:extLst>
        </xdr:cNvPr>
        <xdr:cNvSpPr/>
      </xdr:nvSpPr>
      <xdr:spPr>
        <a:xfrm>
          <a:off x="743389" y="3161443"/>
          <a:ext cx="1191630" cy="290722"/>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September19</a:t>
          </a:r>
        </a:p>
      </xdr:txBody>
    </xdr:sp>
    <xdr:clientData/>
  </xdr:twoCellAnchor>
  <xdr:twoCellAnchor>
    <xdr:from>
      <xdr:col>3</xdr:col>
      <xdr:colOff>457640</xdr:colOff>
      <xdr:row>14</xdr:row>
      <xdr:rowOff>11115</xdr:rowOff>
    </xdr:from>
    <xdr:to>
      <xdr:col>5</xdr:col>
      <xdr:colOff>274041</xdr:colOff>
      <xdr:row>15</xdr:row>
      <xdr:rowOff>60991</xdr:rowOff>
    </xdr:to>
    <xdr:sp macro="" textlink="">
      <xdr:nvSpPr>
        <xdr:cNvPr id="15" name="Rectangle: Rounded Corners 14">
          <a:hlinkClick xmlns:r="http://schemas.openxmlformats.org/officeDocument/2006/relationships" r:id="rId10"/>
          <a:extLst>
            <a:ext uri="{FF2B5EF4-FFF2-40B4-BE49-F238E27FC236}">
              <a16:creationId xmlns:a16="http://schemas.microsoft.com/office/drawing/2014/main" id="{719D52BD-11E7-40FE-92D8-17ED2D35E1FF}"/>
            </a:ext>
          </a:extLst>
        </xdr:cNvPr>
        <xdr:cNvSpPr/>
      </xdr:nvSpPr>
      <xdr:spPr>
        <a:xfrm>
          <a:off x="2515040" y="3160715"/>
          <a:ext cx="1188001" cy="291176"/>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October19</a:t>
          </a:r>
        </a:p>
      </xdr:txBody>
    </xdr:sp>
    <xdr:clientData/>
  </xdr:twoCellAnchor>
  <xdr:twoCellAnchor>
    <xdr:from>
      <xdr:col>1</xdr:col>
      <xdr:colOff>57589</xdr:colOff>
      <xdr:row>15</xdr:row>
      <xdr:rowOff>191751</xdr:rowOff>
    </xdr:from>
    <xdr:to>
      <xdr:col>2</xdr:col>
      <xdr:colOff>563419</xdr:colOff>
      <xdr:row>17</xdr:row>
      <xdr:rowOff>37972</xdr:rowOff>
    </xdr:to>
    <xdr:sp macro="" textlink="">
      <xdr:nvSpPr>
        <xdr:cNvPr id="16" name="Rectangle: Rounded Corners 15">
          <a:hlinkClick xmlns:r="http://schemas.openxmlformats.org/officeDocument/2006/relationships" r:id="rId11"/>
          <a:extLst>
            <a:ext uri="{FF2B5EF4-FFF2-40B4-BE49-F238E27FC236}">
              <a16:creationId xmlns:a16="http://schemas.microsoft.com/office/drawing/2014/main" id="{CD67380B-C28F-4C27-8602-A3B262BDEA94}"/>
            </a:ext>
          </a:extLst>
        </xdr:cNvPr>
        <xdr:cNvSpPr/>
      </xdr:nvSpPr>
      <xdr:spPr>
        <a:xfrm>
          <a:off x="743389" y="3582651"/>
          <a:ext cx="1191630" cy="328821"/>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November19</a:t>
          </a:r>
        </a:p>
      </xdr:txBody>
    </xdr:sp>
    <xdr:clientData/>
  </xdr:twoCellAnchor>
  <xdr:twoCellAnchor>
    <xdr:from>
      <xdr:col>3</xdr:col>
      <xdr:colOff>457640</xdr:colOff>
      <xdr:row>15</xdr:row>
      <xdr:rowOff>191296</xdr:rowOff>
    </xdr:from>
    <xdr:to>
      <xdr:col>5</xdr:col>
      <xdr:colOff>274041</xdr:colOff>
      <xdr:row>17</xdr:row>
      <xdr:rowOff>37972</xdr:rowOff>
    </xdr:to>
    <xdr:sp macro="" textlink="">
      <xdr:nvSpPr>
        <xdr:cNvPr id="17" name="Rectangle: Rounded Corners 16">
          <a:hlinkClick xmlns:r="http://schemas.openxmlformats.org/officeDocument/2006/relationships" r:id="rId12"/>
          <a:extLst>
            <a:ext uri="{FF2B5EF4-FFF2-40B4-BE49-F238E27FC236}">
              <a16:creationId xmlns:a16="http://schemas.microsoft.com/office/drawing/2014/main" id="{4021C1AC-DF27-4878-B0E3-E3073089B528}"/>
            </a:ext>
          </a:extLst>
        </xdr:cNvPr>
        <xdr:cNvSpPr/>
      </xdr:nvSpPr>
      <xdr:spPr>
        <a:xfrm>
          <a:off x="2515040" y="3582196"/>
          <a:ext cx="1188001" cy="329276"/>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December19</a:t>
          </a:r>
        </a:p>
      </xdr:txBody>
    </xdr:sp>
    <xdr:clientData/>
  </xdr:twoCellAnchor>
  <xdr:twoCellAnchor>
    <xdr:from>
      <xdr:col>9</xdr:col>
      <xdr:colOff>127001</xdr:colOff>
      <xdr:row>6</xdr:row>
      <xdr:rowOff>27212</xdr:rowOff>
    </xdr:from>
    <xdr:to>
      <xdr:col>12</xdr:col>
      <xdr:colOff>136071</xdr:colOff>
      <xdr:row>7</xdr:row>
      <xdr:rowOff>115187</xdr:rowOff>
    </xdr:to>
    <xdr:sp macro="" textlink="">
      <xdr:nvSpPr>
        <xdr:cNvPr id="21" name="Rectangle: Rounded Corners 6">
          <a:hlinkClick xmlns:r="http://schemas.openxmlformats.org/officeDocument/2006/relationships" r:id="rId13"/>
          <a:extLst>
            <a:ext uri="{FF2B5EF4-FFF2-40B4-BE49-F238E27FC236}">
              <a16:creationId xmlns:a16="http://schemas.microsoft.com/office/drawing/2014/main" id="{06B7C492-B085-124C-A886-A83970A43BDF}"/>
            </a:ext>
          </a:extLst>
        </xdr:cNvPr>
        <xdr:cNvSpPr/>
      </xdr:nvSpPr>
      <xdr:spPr>
        <a:xfrm>
          <a:off x="6331858" y="1224641"/>
          <a:ext cx="2077356" cy="287546"/>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Perinatal</a:t>
          </a:r>
          <a:r>
            <a:rPr lang="en-GB" sz="1100" b="1" baseline="0"/>
            <a:t> Mortality Rate</a:t>
          </a:r>
          <a:endParaRPr lang="en-GB" sz="1100" b="1"/>
        </a:p>
      </xdr:txBody>
    </xdr:sp>
    <xdr:clientData/>
  </xdr:twoCellAnchor>
  <xdr:twoCellAnchor>
    <xdr:from>
      <xdr:col>9</xdr:col>
      <xdr:colOff>136064</xdr:colOff>
      <xdr:row>9</xdr:row>
      <xdr:rowOff>145135</xdr:rowOff>
    </xdr:from>
    <xdr:to>
      <xdr:col>12</xdr:col>
      <xdr:colOff>145134</xdr:colOff>
      <xdr:row>11</xdr:row>
      <xdr:rowOff>33538</xdr:rowOff>
    </xdr:to>
    <xdr:sp macro="" textlink="">
      <xdr:nvSpPr>
        <xdr:cNvPr id="22" name="Rectangle: Rounded Corners 6">
          <a:hlinkClick xmlns:r="http://schemas.openxmlformats.org/officeDocument/2006/relationships" r:id="rId14"/>
          <a:extLst>
            <a:ext uri="{FF2B5EF4-FFF2-40B4-BE49-F238E27FC236}">
              <a16:creationId xmlns:a16="http://schemas.microsoft.com/office/drawing/2014/main" id="{7C8C21BA-0097-2444-B039-ED808818C00E}"/>
            </a:ext>
          </a:extLst>
        </xdr:cNvPr>
        <xdr:cNvSpPr/>
      </xdr:nvSpPr>
      <xdr:spPr>
        <a:xfrm>
          <a:off x="6340921" y="1941278"/>
          <a:ext cx="2077356" cy="287546"/>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Neonatal</a:t>
          </a:r>
          <a:r>
            <a:rPr lang="en-GB" sz="1100" b="1" baseline="0"/>
            <a:t> Mortality Rate</a:t>
          </a:r>
          <a:endParaRPr lang="en-GB" sz="1100" b="1"/>
        </a:p>
      </xdr:txBody>
    </xdr:sp>
    <xdr:clientData/>
  </xdr:twoCellAnchor>
  <xdr:twoCellAnchor>
    <xdr:from>
      <xdr:col>9</xdr:col>
      <xdr:colOff>143322</xdr:colOff>
      <xdr:row>13</xdr:row>
      <xdr:rowOff>107021</xdr:rowOff>
    </xdr:from>
    <xdr:to>
      <xdr:col>12</xdr:col>
      <xdr:colOff>152392</xdr:colOff>
      <xdr:row>14</xdr:row>
      <xdr:rowOff>194996</xdr:rowOff>
    </xdr:to>
    <xdr:sp macro="" textlink="">
      <xdr:nvSpPr>
        <xdr:cNvPr id="23" name="Rectangle: Rounded Corners 6">
          <a:hlinkClick xmlns:r="http://schemas.openxmlformats.org/officeDocument/2006/relationships" r:id="rId15"/>
          <a:extLst>
            <a:ext uri="{FF2B5EF4-FFF2-40B4-BE49-F238E27FC236}">
              <a16:creationId xmlns:a16="http://schemas.microsoft.com/office/drawing/2014/main" id="{BE8DE430-DFC3-4E41-8331-37BBB03634F0}"/>
            </a:ext>
          </a:extLst>
        </xdr:cNvPr>
        <xdr:cNvSpPr/>
      </xdr:nvSpPr>
      <xdr:spPr>
        <a:xfrm>
          <a:off x="6348179" y="2701450"/>
          <a:ext cx="2077356" cy="287546"/>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Stillbirth</a:t>
          </a:r>
          <a:r>
            <a:rPr lang="en-GB" sz="1100" b="1" baseline="0"/>
            <a:t> Rate</a:t>
          </a:r>
          <a:endParaRPr lang="en-GB" sz="1100" b="1"/>
        </a:p>
      </xdr:txBody>
    </xdr:sp>
    <xdr:clientData/>
  </xdr:twoCellAnchor>
  <xdr:twoCellAnchor>
    <xdr:from>
      <xdr:col>9</xdr:col>
      <xdr:colOff>141516</xdr:colOff>
      <xdr:row>21</xdr:row>
      <xdr:rowOff>68917</xdr:rowOff>
    </xdr:from>
    <xdr:to>
      <xdr:col>12</xdr:col>
      <xdr:colOff>150586</xdr:colOff>
      <xdr:row>22</xdr:row>
      <xdr:rowOff>156892</xdr:rowOff>
    </xdr:to>
    <xdr:sp macro="" textlink="">
      <xdr:nvSpPr>
        <xdr:cNvPr id="24" name="Rectangle: Rounded Corners 6">
          <a:hlinkClick xmlns:r="http://schemas.openxmlformats.org/officeDocument/2006/relationships" r:id="rId16"/>
          <a:extLst>
            <a:ext uri="{FF2B5EF4-FFF2-40B4-BE49-F238E27FC236}">
              <a16:creationId xmlns:a16="http://schemas.microsoft.com/office/drawing/2014/main" id="{1193D461-B597-5F4A-B668-69E838043FFF}"/>
            </a:ext>
          </a:extLst>
        </xdr:cNvPr>
        <xdr:cNvSpPr/>
      </xdr:nvSpPr>
      <xdr:spPr>
        <a:xfrm>
          <a:off x="6346373" y="4259917"/>
          <a:ext cx="2077356" cy="287546"/>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Caesarean</a:t>
          </a:r>
          <a:r>
            <a:rPr lang="en-GB" sz="1100" b="1" baseline="0"/>
            <a:t> &amp; Assisted Deliveries</a:t>
          </a:r>
          <a:endParaRPr lang="en-GB" sz="1100" b="1"/>
        </a:p>
      </xdr:txBody>
    </xdr:sp>
    <xdr:clientData/>
  </xdr:twoCellAnchor>
  <xdr:twoCellAnchor>
    <xdr:from>
      <xdr:col>9</xdr:col>
      <xdr:colOff>156036</xdr:colOff>
      <xdr:row>17</xdr:row>
      <xdr:rowOff>92497</xdr:rowOff>
    </xdr:from>
    <xdr:to>
      <xdr:col>12</xdr:col>
      <xdr:colOff>165106</xdr:colOff>
      <xdr:row>18</xdr:row>
      <xdr:rowOff>180471</xdr:rowOff>
    </xdr:to>
    <xdr:sp macro="" textlink="">
      <xdr:nvSpPr>
        <xdr:cNvPr id="26" name="Rectangle: Rounded Corners 6">
          <a:hlinkClick xmlns:r="http://schemas.openxmlformats.org/officeDocument/2006/relationships" r:id="rId17"/>
          <a:extLst>
            <a:ext uri="{FF2B5EF4-FFF2-40B4-BE49-F238E27FC236}">
              <a16:creationId xmlns:a16="http://schemas.microsoft.com/office/drawing/2014/main" id="{2E914C6D-01A8-5940-96F0-82450B9D7B8E}"/>
            </a:ext>
          </a:extLst>
        </xdr:cNvPr>
        <xdr:cNvSpPr/>
      </xdr:nvSpPr>
      <xdr:spPr>
        <a:xfrm>
          <a:off x="6360893" y="3485211"/>
          <a:ext cx="2077356" cy="287546"/>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Preterm</a:t>
          </a:r>
          <a:r>
            <a:rPr lang="en-GB" sz="1100" b="1" baseline="0"/>
            <a:t> &amp; Low birthweight</a:t>
          </a:r>
          <a:endParaRPr lang="en-GB" sz="1100" b="1"/>
        </a:p>
      </xdr:txBody>
    </xdr:sp>
    <xdr:clientData/>
  </xdr:twoCellAnchor>
  <xdr:twoCellAnchor>
    <xdr:from>
      <xdr:col>9</xdr:col>
      <xdr:colOff>172366</xdr:colOff>
      <xdr:row>25</xdr:row>
      <xdr:rowOff>63473</xdr:rowOff>
    </xdr:from>
    <xdr:to>
      <xdr:col>12</xdr:col>
      <xdr:colOff>181436</xdr:colOff>
      <xdr:row>26</xdr:row>
      <xdr:rowOff>151448</xdr:rowOff>
    </xdr:to>
    <xdr:sp macro="" textlink="">
      <xdr:nvSpPr>
        <xdr:cNvPr id="27" name="Rectangle: Rounded Corners 6">
          <a:hlinkClick xmlns:r="http://schemas.openxmlformats.org/officeDocument/2006/relationships" r:id="rId18"/>
          <a:extLst>
            <a:ext uri="{FF2B5EF4-FFF2-40B4-BE49-F238E27FC236}">
              <a16:creationId xmlns:a16="http://schemas.microsoft.com/office/drawing/2014/main" id="{9C485DBB-6E65-434B-A3D4-E4522892BC77}"/>
            </a:ext>
          </a:extLst>
        </xdr:cNvPr>
        <xdr:cNvSpPr/>
      </xdr:nvSpPr>
      <xdr:spPr>
        <a:xfrm>
          <a:off x="6377223" y="5052759"/>
          <a:ext cx="2077356" cy="287546"/>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Maternal</a:t>
          </a:r>
          <a:r>
            <a:rPr lang="en-GB" sz="1100" b="1" baseline="0"/>
            <a:t> Deaths</a:t>
          </a:r>
          <a:endParaRPr lang="en-GB" sz="1100" b="1"/>
        </a:p>
      </xdr:txBody>
    </xdr:sp>
    <xdr:clientData/>
  </xdr:twoCellAnchor>
  <xdr:twoCellAnchor>
    <xdr:from>
      <xdr:col>6</xdr:col>
      <xdr:colOff>435426</xdr:colOff>
      <xdr:row>8</xdr:row>
      <xdr:rowOff>45360</xdr:rowOff>
    </xdr:from>
    <xdr:to>
      <xdr:col>8</xdr:col>
      <xdr:colOff>336728</xdr:colOff>
      <xdr:row>22</xdr:row>
      <xdr:rowOff>117932</xdr:rowOff>
    </xdr:to>
    <xdr:sp macro="" textlink="">
      <xdr:nvSpPr>
        <xdr:cNvPr id="28" name="Rectangle 27">
          <a:hlinkClick xmlns:r="http://schemas.openxmlformats.org/officeDocument/2006/relationships" r:id="rId19"/>
          <a:extLst>
            <a:ext uri="{FF2B5EF4-FFF2-40B4-BE49-F238E27FC236}">
              <a16:creationId xmlns:a16="http://schemas.microsoft.com/office/drawing/2014/main" id="{9B83EB2E-16EA-2D44-93BC-009BB59A25C0}"/>
            </a:ext>
          </a:extLst>
        </xdr:cNvPr>
        <xdr:cNvSpPr/>
      </xdr:nvSpPr>
      <xdr:spPr>
        <a:xfrm>
          <a:off x="4571997" y="1641931"/>
          <a:ext cx="1280160" cy="2866572"/>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lvl="0" algn="ctr"/>
          <a:r>
            <a:rPr lang="en-US" sz="2000" b="1">
              <a:solidFill>
                <a:schemeClr val="bg1"/>
              </a:solidFill>
            </a:rPr>
            <a:t>Indicators</a:t>
          </a:r>
        </a:p>
      </xdr:txBody>
    </xdr:sp>
    <xdr:clientData/>
  </xdr:twoCellAnchor>
  <xdr:twoCellAnchor>
    <xdr:from>
      <xdr:col>9</xdr:col>
      <xdr:colOff>127000</xdr:colOff>
      <xdr:row>1</xdr:row>
      <xdr:rowOff>114300</xdr:rowOff>
    </xdr:from>
    <xdr:to>
      <xdr:col>12</xdr:col>
      <xdr:colOff>100806</xdr:colOff>
      <xdr:row>5</xdr:row>
      <xdr:rowOff>5443</xdr:rowOff>
    </xdr:to>
    <xdr:sp macro="" textlink="">
      <xdr:nvSpPr>
        <xdr:cNvPr id="29" name="Rounded Rectangle 28">
          <a:extLst>
            <a:ext uri="{FF2B5EF4-FFF2-40B4-BE49-F238E27FC236}">
              <a16:creationId xmlns:a16="http://schemas.microsoft.com/office/drawing/2014/main" id="{37DDEF08-C5EF-7D4C-9B72-F954F47274F9}"/>
            </a:ext>
          </a:extLst>
        </xdr:cNvPr>
        <xdr:cNvSpPr/>
      </xdr:nvSpPr>
      <xdr:spPr>
        <a:xfrm>
          <a:off x="6331857" y="313871"/>
          <a:ext cx="2042092" cy="689429"/>
        </a:xfrm>
        <a:prstGeom prst="roundRect">
          <a:avLst/>
        </a:prstGeom>
        <a:solidFill>
          <a:srgbClr val="94165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Graphs</a:t>
          </a:r>
        </a:p>
      </xdr:txBody>
    </xdr:sp>
    <xdr:clientData/>
  </xdr:twoCellAnchor>
  <xdr:twoCellAnchor>
    <xdr:from>
      <xdr:col>14</xdr:col>
      <xdr:colOff>205153</xdr:colOff>
      <xdr:row>4</xdr:row>
      <xdr:rowOff>68385</xdr:rowOff>
    </xdr:from>
    <xdr:to>
      <xdr:col>17</xdr:col>
      <xdr:colOff>859691</xdr:colOff>
      <xdr:row>6</xdr:row>
      <xdr:rowOff>117231</xdr:rowOff>
    </xdr:to>
    <xdr:sp macro="" textlink="">
      <xdr:nvSpPr>
        <xdr:cNvPr id="31" name="Rounded Rectangle 30">
          <a:extLst>
            <a:ext uri="{FF2B5EF4-FFF2-40B4-BE49-F238E27FC236}">
              <a16:creationId xmlns:a16="http://schemas.microsoft.com/office/drawing/2014/main" id="{3F9C9174-5C1E-2C42-A9F1-82AF1ECF8C04}"/>
            </a:ext>
          </a:extLst>
        </xdr:cNvPr>
        <xdr:cNvSpPr/>
      </xdr:nvSpPr>
      <xdr:spPr>
        <a:xfrm>
          <a:off x="9301528" y="868485"/>
          <a:ext cx="3997813" cy="448896"/>
        </a:xfrm>
        <a:prstGeom prst="roundRect">
          <a:avLst/>
        </a:prstGeom>
        <a:solidFill>
          <a:srgbClr val="94165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Summary Statistics Overall</a:t>
          </a:r>
        </a:p>
      </xdr:txBody>
    </xdr:sp>
    <xdr:clientData/>
  </xdr:twoCellAnchor>
  <xdr:twoCellAnchor>
    <xdr:from>
      <xdr:col>14</xdr:col>
      <xdr:colOff>158750</xdr:colOff>
      <xdr:row>19</xdr:row>
      <xdr:rowOff>116417</xdr:rowOff>
    </xdr:from>
    <xdr:to>
      <xdr:col>17</xdr:col>
      <xdr:colOff>813288</xdr:colOff>
      <xdr:row>21</xdr:row>
      <xdr:rowOff>154680</xdr:rowOff>
    </xdr:to>
    <xdr:sp macro="" textlink="">
      <xdr:nvSpPr>
        <xdr:cNvPr id="30" name="Rounded Rectangle 29">
          <a:extLst>
            <a:ext uri="{FF2B5EF4-FFF2-40B4-BE49-F238E27FC236}">
              <a16:creationId xmlns:a16="http://schemas.microsoft.com/office/drawing/2014/main" id="{6E64FD68-E7DE-7E4A-9112-BA1D8891FBC6}"/>
            </a:ext>
          </a:extLst>
        </xdr:cNvPr>
        <xdr:cNvSpPr/>
      </xdr:nvSpPr>
      <xdr:spPr>
        <a:xfrm>
          <a:off x="9789583" y="4000500"/>
          <a:ext cx="3416788" cy="451013"/>
        </a:xfrm>
        <a:prstGeom prst="roundRect">
          <a:avLst/>
        </a:prstGeom>
        <a:solidFill>
          <a:srgbClr val="94165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Progress</a:t>
          </a:r>
          <a:r>
            <a:rPr lang="en-US" sz="1800" b="1" baseline="0">
              <a:solidFill>
                <a:schemeClr val="bg1"/>
              </a:solidFill>
            </a:rPr>
            <a:t> on recommendations</a:t>
          </a:r>
          <a:endParaRPr lang="en-US" sz="1800" b="1">
            <a:solidFill>
              <a:schemeClr val="bg1"/>
            </a:solidFill>
          </a:endParaRPr>
        </a:p>
      </xdr:txBody>
    </xdr:sp>
    <xdr:clientData/>
  </xdr:twoCellAnchor>
  <xdr:twoCellAnchor>
    <xdr:from>
      <xdr:col>0</xdr:col>
      <xdr:colOff>406400</xdr:colOff>
      <xdr:row>17</xdr:row>
      <xdr:rowOff>152400</xdr:rowOff>
    </xdr:from>
    <xdr:to>
      <xdr:col>6</xdr:col>
      <xdr:colOff>132080</xdr:colOff>
      <xdr:row>17</xdr:row>
      <xdr:rowOff>152400</xdr:rowOff>
    </xdr:to>
    <xdr:cxnSp macro="">
      <xdr:nvCxnSpPr>
        <xdr:cNvPr id="5" name="Straight Connector 4">
          <a:extLst>
            <a:ext uri="{FF2B5EF4-FFF2-40B4-BE49-F238E27FC236}">
              <a16:creationId xmlns:a16="http://schemas.microsoft.com/office/drawing/2014/main" id="{15BBF365-588A-B145-88B7-6FA245DFD5C4}"/>
            </a:ext>
          </a:extLst>
        </xdr:cNvPr>
        <xdr:cNvCxnSpPr/>
      </xdr:nvCxnSpPr>
      <xdr:spPr>
        <a:xfrm>
          <a:off x="406400" y="4025900"/>
          <a:ext cx="3840480" cy="0"/>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71723</xdr:colOff>
      <xdr:row>18</xdr:row>
      <xdr:rowOff>59530</xdr:rowOff>
    </xdr:from>
    <xdr:to>
      <xdr:col>2</xdr:col>
      <xdr:colOff>577553</xdr:colOff>
      <xdr:row>19</xdr:row>
      <xdr:rowOff>134351</xdr:rowOff>
    </xdr:to>
    <xdr:sp macro="" textlink="">
      <xdr:nvSpPr>
        <xdr:cNvPr id="32" name="Rectangle: Rounded Corners 15">
          <a:hlinkClick xmlns:r="http://schemas.openxmlformats.org/officeDocument/2006/relationships" r:id="rId20"/>
          <a:extLst>
            <a:ext uri="{FF2B5EF4-FFF2-40B4-BE49-F238E27FC236}">
              <a16:creationId xmlns:a16="http://schemas.microsoft.com/office/drawing/2014/main" id="{ED1B2DD8-7471-DD4E-9AA2-A200D0C3D126}"/>
            </a:ext>
          </a:extLst>
        </xdr:cNvPr>
        <xdr:cNvSpPr/>
      </xdr:nvSpPr>
      <xdr:spPr>
        <a:xfrm>
          <a:off x="757523" y="4174330"/>
          <a:ext cx="1191630" cy="328821"/>
        </a:xfrm>
        <a:prstGeom prst="roundRect">
          <a:avLst/>
        </a:prstGeom>
        <a:solidFill>
          <a:srgbClr val="FF2F9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January20</a:t>
          </a:r>
        </a:p>
      </xdr:txBody>
    </xdr:sp>
    <xdr:clientData/>
  </xdr:twoCellAnchor>
  <xdr:twoCellAnchor>
    <xdr:from>
      <xdr:col>3</xdr:col>
      <xdr:colOff>427323</xdr:colOff>
      <xdr:row>18</xdr:row>
      <xdr:rowOff>72230</xdr:rowOff>
    </xdr:from>
    <xdr:to>
      <xdr:col>5</xdr:col>
      <xdr:colOff>247353</xdr:colOff>
      <xdr:row>19</xdr:row>
      <xdr:rowOff>147051</xdr:rowOff>
    </xdr:to>
    <xdr:sp macro="" textlink="">
      <xdr:nvSpPr>
        <xdr:cNvPr id="33" name="Rectangle: Rounded Corners 15">
          <a:hlinkClick xmlns:r="http://schemas.openxmlformats.org/officeDocument/2006/relationships" r:id="rId21"/>
          <a:extLst>
            <a:ext uri="{FF2B5EF4-FFF2-40B4-BE49-F238E27FC236}">
              <a16:creationId xmlns:a16="http://schemas.microsoft.com/office/drawing/2014/main" id="{4B5E6AD6-4FB4-5243-821C-A759180686FB}"/>
            </a:ext>
          </a:extLst>
        </xdr:cNvPr>
        <xdr:cNvSpPr/>
      </xdr:nvSpPr>
      <xdr:spPr>
        <a:xfrm>
          <a:off x="2484723" y="4187030"/>
          <a:ext cx="1191630" cy="328821"/>
        </a:xfrm>
        <a:prstGeom prst="roundRect">
          <a:avLst/>
        </a:prstGeom>
        <a:solidFill>
          <a:srgbClr val="FF2F9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February20</a:t>
          </a:r>
        </a:p>
      </xdr:txBody>
    </xdr:sp>
    <xdr:clientData/>
  </xdr:twoCellAnchor>
  <xdr:twoCellAnchor>
    <xdr:from>
      <xdr:col>1</xdr:col>
      <xdr:colOff>71723</xdr:colOff>
      <xdr:row>20</xdr:row>
      <xdr:rowOff>90010</xdr:rowOff>
    </xdr:from>
    <xdr:to>
      <xdr:col>2</xdr:col>
      <xdr:colOff>577553</xdr:colOff>
      <xdr:row>21</xdr:row>
      <xdr:rowOff>215631</xdr:rowOff>
    </xdr:to>
    <xdr:sp macro="" textlink="">
      <xdr:nvSpPr>
        <xdr:cNvPr id="34" name="Rectangle: Rounded Corners 15">
          <a:hlinkClick xmlns:r="http://schemas.openxmlformats.org/officeDocument/2006/relationships" r:id="rId22"/>
          <a:extLst>
            <a:ext uri="{FF2B5EF4-FFF2-40B4-BE49-F238E27FC236}">
              <a16:creationId xmlns:a16="http://schemas.microsoft.com/office/drawing/2014/main" id="{8E36E01D-B1B1-B144-8DF7-F4EB6118971C}"/>
            </a:ext>
          </a:extLst>
        </xdr:cNvPr>
        <xdr:cNvSpPr/>
      </xdr:nvSpPr>
      <xdr:spPr>
        <a:xfrm>
          <a:off x="757523" y="4674710"/>
          <a:ext cx="1191630" cy="328821"/>
        </a:xfrm>
        <a:prstGeom prst="roundRect">
          <a:avLst/>
        </a:prstGeom>
        <a:solidFill>
          <a:srgbClr val="FF2F9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March20</a:t>
          </a:r>
        </a:p>
      </xdr:txBody>
    </xdr:sp>
    <xdr:clientData/>
  </xdr:twoCellAnchor>
  <xdr:twoCellAnchor>
    <xdr:from>
      <xdr:col>3</xdr:col>
      <xdr:colOff>427323</xdr:colOff>
      <xdr:row>20</xdr:row>
      <xdr:rowOff>102710</xdr:rowOff>
    </xdr:from>
    <xdr:to>
      <xdr:col>5</xdr:col>
      <xdr:colOff>247353</xdr:colOff>
      <xdr:row>22</xdr:row>
      <xdr:rowOff>12431</xdr:rowOff>
    </xdr:to>
    <xdr:sp macro="" textlink="">
      <xdr:nvSpPr>
        <xdr:cNvPr id="35" name="Rectangle: Rounded Corners 15">
          <a:hlinkClick xmlns:r="http://schemas.openxmlformats.org/officeDocument/2006/relationships" r:id="rId23"/>
          <a:extLst>
            <a:ext uri="{FF2B5EF4-FFF2-40B4-BE49-F238E27FC236}">
              <a16:creationId xmlns:a16="http://schemas.microsoft.com/office/drawing/2014/main" id="{70624745-EDB1-F54F-8B2F-3B45577423DB}"/>
            </a:ext>
          </a:extLst>
        </xdr:cNvPr>
        <xdr:cNvSpPr/>
      </xdr:nvSpPr>
      <xdr:spPr>
        <a:xfrm>
          <a:off x="2484723" y="4687410"/>
          <a:ext cx="1191630" cy="328821"/>
        </a:xfrm>
        <a:prstGeom prst="roundRect">
          <a:avLst/>
        </a:prstGeom>
        <a:solidFill>
          <a:srgbClr val="FF2F9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April20</a:t>
          </a:r>
        </a:p>
      </xdr:txBody>
    </xdr:sp>
    <xdr:clientData/>
  </xdr:twoCellAnchor>
  <xdr:twoCellAnchor>
    <xdr:from>
      <xdr:col>3</xdr:col>
      <xdr:colOff>427323</xdr:colOff>
      <xdr:row>22</xdr:row>
      <xdr:rowOff>183990</xdr:rowOff>
    </xdr:from>
    <xdr:to>
      <xdr:col>5</xdr:col>
      <xdr:colOff>247353</xdr:colOff>
      <xdr:row>24</xdr:row>
      <xdr:rowOff>55611</xdr:rowOff>
    </xdr:to>
    <xdr:sp macro="" textlink="">
      <xdr:nvSpPr>
        <xdr:cNvPr id="36" name="Rectangle: Rounded Corners 15">
          <a:hlinkClick xmlns:r="http://schemas.openxmlformats.org/officeDocument/2006/relationships" r:id="rId24"/>
          <a:extLst>
            <a:ext uri="{FF2B5EF4-FFF2-40B4-BE49-F238E27FC236}">
              <a16:creationId xmlns:a16="http://schemas.microsoft.com/office/drawing/2014/main" id="{CFC8B4CE-7F78-7242-94C3-347314D73688}"/>
            </a:ext>
          </a:extLst>
        </xdr:cNvPr>
        <xdr:cNvSpPr/>
      </xdr:nvSpPr>
      <xdr:spPr>
        <a:xfrm>
          <a:off x="2484723" y="5187790"/>
          <a:ext cx="1191630" cy="328821"/>
        </a:xfrm>
        <a:prstGeom prst="roundRect">
          <a:avLst/>
        </a:prstGeom>
        <a:solidFill>
          <a:srgbClr val="FF2F9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June20</a:t>
          </a:r>
        </a:p>
      </xdr:txBody>
    </xdr:sp>
    <xdr:clientData/>
  </xdr:twoCellAnchor>
  <xdr:twoCellAnchor>
    <xdr:from>
      <xdr:col>3</xdr:col>
      <xdr:colOff>427323</xdr:colOff>
      <xdr:row>24</xdr:row>
      <xdr:rowOff>227170</xdr:rowOff>
    </xdr:from>
    <xdr:to>
      <xdr:col>5</xdr:col>
      <xdr:colOff>247353</xdr:colOff>
      <xdr:row>26</xdr:row>
      <xdr:rowOff>73391</xdr:rowOff>
    </xdr:to>
    <xdr:sp macro="" textlink="">
      <xdr:nvSpPr>
        <xdr:cNvPr id="37" name="Rectangle: Rounded Corners 15">
          <a:hlinkClick xmlns:r="http://schemas.openxmlformats.org/officeDocument/2006/relationships" r:id="rId25"/>
          <a:extLst>
            <a:ext uri="{FF2B5EF4-FFF2-40B4-BE49-F238E27FC236}">
              <a16:creationId xmlns:a16="http://schemas.microsoft.com/office/drawing/2014/main" id="{8964981E-535B-2C4E-B6BA-21D53E688836}"/>
            </a:ext>
          </a:extLst>
        </xdr:cNvPr>
        <xdr:cNvSpPr/>
      </xdr:nvSpPr>
      <xdr:spPr>
        <a:xfrm>
          <a:off x="2484723" y="5688170"/>
          <a:ext cx="1191630" cy="328821"/>
        </a:xfrm>
        <a:prstGeom prst="roundRect">
          <a:avLst/>
        </a:prstGeom>
        <a:solidFill>
          <a:srgbClr val="FF2F9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August20</a:t>
          </a:r>
        </a:p>
      </xdr:txBody>
    </xdr:sp>
    <xdr:clientData/>
  </xdr:twoCellAnchor>
  <xdr:twoCellAnchor>
    <xdr:from>
      <xdr:col>3</xdr:col>
      <xdr:colOff>427323</xdr:colOff>
      <xdr:row>26</xdr:row>
      <xdr:rowOff>244950</xdr:rowOff>
    </xdr:from>
    <xdr:to>
      <xdr:col>5</xdr:col>
      <xdr:colOff>247353</xdr:colOff>
      <xdr:row>28</xdr:row>
      <xdr:rowOff>103871</xdr:rowOff>
    </xdr:to>
    <xdr:sp macro="" textlink="">
      <xdr:nvSpPr>
        <xdr:cNvPr id="38" name="Rectangle: Rounded Corners 15">
          <a:hlinkClick xmlns:r="http://schemas.openxmlformats.org/officeDocument/2006/relationships" r:id="rId26"/>
          <a:extLst>
            <a:ext uri="{FF2B5EF4-FFF2-40B4-BE49-F238E27FC236}">
              <a16:creationId xmlns:a16="http://schemas.microsoft.com/office/drawing/2014/main" id="{D0F7724D-B549-D54F-9073-BEEBEB97A041}"/>
            </a:ext>
          </a:extLst>
        </xdr:cNvPr>
        <xdr:cNvSpPr/>
      </xdr:nvSpPr>
      <xdr:spPr>
        <a:xfrm>
          <a:off x="2484723" y="6188550"/>
          <a:ext cx="1191630" cy="328821"/>
        </a:xfrm>
        <a:prstGeom prst="roundRect">
          <a:avLst/>
        </a:prstGeom>
        <a:solidFill>
          <a:srgbClr val="FF2F9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October20</a:t>
          </a:r>
        </a:p>
      </xdr:txBody>
    </xdr:sp>
    <xdr:clientData/>
  </xdr:twoCellAnchor>
  <xdr:twoCellAnchor>
    <xdr:from>
      <xdr:col>3</xdr:col>
      <xdr:colOff>427323</xdr:colOff>
      <xdr:row>29</xdr:row>
      <xdr:rowOff>72230</xdr:rowOff>
    </xdr:from>
    <xdr:to>
      <xdr:col>5</xdr:col>
      <xdr:colOff>247353</xdr:colOff>
      <xdr:row>30</xdr:row>
      <xdr:rowOff>197851</xdr:rowOff>
    </xdr:to>
    <xdr:sp macro="" textlink="">
      <xdr:nvSpPr>
        <xdr:cNvPr id="39" name="Rectangle: Rounded Corners 15">
          <a:hlinkClick xmlns:r="http://schemas.openxmlformats.org/officeDocument/2006/relationships" r:id="rId27"/>
          <a:extLst>
            <a:ext uri="{FF2B5EF4-FFF2-40B4-BE49-F238E27FC236}">
              <a16:creationId xmlns:a16="http://schemas.microsoft.com/office/drawing/2014/main" id="{05A71530-9DFF-8E43-8B3A-36452369BBE7}"/>
            </a:ext>
          </a:extLst>
        </xdr:cNvPr>
        <xdr:cNvSpPr/>
      </xdr:nvSpPr>
      <xdr:spPr>
        <a:xfrm>
          <a:off x="2484723" y="6688930"/>
          <a:ext cx="1191630" cy="328821"/>
        </a:xfrm>
        <a:prstGeom prst="roundRect">
          <a:avLst/>
        </a:prstGeom>
        <a:solidFill>
          <a:srgbClr val="FF2F9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December20</a:t>
          </a:r>
        </a:p>
      </xdr:txBody>
    </xdr:sp>
    <xdr:clientData/>
  </xdr:twoCellAnchor>
  <xdr:twoCellAnchor>
    <xdr:from>
      <xdr:col>1</xdr:col>
      <xdr:colOff>71723</xdr:colOff>
      <xdr:row>22</xdr:row>
      <xdr:rowOff>171290</xdr:rowOff>
    </xdr:from>
    <xdr:to>
      <xdr:col>2</xdr:col>
      <xdr:colOff>577553</xdr:colOff>
      <xdr:row>24</xdr:row>
      <xdr:rowOff>42911</xdr:rowOff>
    </xdr:to>
    <xdr:sp macro="" textlink="">
      <xdr:nvSpPr>
        <xdr:cNvPr id="40" name="Rectangle: Rounded Corners 15">
          <a:hlinkClick xmlns:r="http://schemas.openxmlformats.org/officeDocument/2006/relationships" r:id="rId28"/>
          <a:extLst>
            <a:ext uri="{FF2B5EF4-FFF2-40B4-BE49-F238E27FC236}">
              <a16:creationId xmlns:a16="http://schemas.microsoft.com/office/drawing/2014/main" id="{6DC02BEF-5A96-884C-A86F-EFCD69F8FEC8}"/>
            </a:ext>
          </a:extLst>
        </xdr:cNvPr>
        <xdr:cNvSpPr/>
      </xdr:nvSpPr>
      <xdr:spPr>
        <a:xfrm>
          <a:off x="757523" y="5175090"/>
          <a:ext cx="1191630" cy="328821"/>
        </a:xfrm>
        <a:prstGeom prst="roundRect">
          <a:avLst/>
        </a:prstGeom>
        <a:solidFill>
          <a:srgbClr val="FF2F9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May20</a:t>
          </a:r>
        </a:p>
      </xdr:txBody>
    </xdr:sp>
    <xdr:clientData/>
  </xdr:twoCellAnchor>
  <xdr:twoCellAnchor>
    <xdr:from>
      <xdr:col>1</xdr:col>
      <xdr:colOff>71723</xdr:colOff>
      <xdr:row>24</xdr:row>
      <xdr:rowOff>214470</xdr:rowOff>
    </xdr:from>
    <xdr:to>
      <xdr:col>2</xdr:col>
      <xdr:colOff>577553</xdr:colOff>
      <xdr:row>26</xdr:row>
      <xdr:rowOff>60691</xdr:rowOff>
    </xdr:to>
    <xdr:sp macro="" textlink="">
      <xdr:nvSpPr>
        <xdr:cNvPr id="41" name="Rectangle: Rounded Corners 15">
          <a:hlinkClick xmlns:r="http://schemas.openxmlformats.org/officeDocument/2006/relationships" r:id="rId29"/>
          <a:extLst>
            <a:ext uri="{FF2B5EF4-FFF2-40B4-BE49-F238E27FC236}">
              <a16:creationId xmlns:a16="http://schemas.microsoft.com/office/drawing/2014/main" id="{2518BCD4-6337-8647-B53D-4D33EBEF3787}"/>
            </a:ext>
          </a:extLst>
        </xdr:cNvPr>
        <xdr:cNvSpPr/>
      </xdr:nvSpPr>
      <xdr:spPr>
        <a:xfrm>
          <a:off x="757523" y="5675470"/>
          <a:ext cx="1191630" cy="328821"/>
        </a:xfrm>
        <a:prstGeom prst="roundRect">
          <a:avLst/>
        </a:prstGeom>
        <a:solidFill>
          <a:srgbClr val="FF2F9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July20</a:t>
          </a:r>
        </a:p>
      </xdr:txBody>
    </xdr:sp>
    <xdr:clientData/>
  </xdr:twoCellAnchor>
  <xdr:twoCellAnchor>
    <xdr:from>
      <xdr:col>1</xdr:col>
      <xdr:colOff>71723</xdr:colOff>
      <xdr:row>26</xdr:row>
      <xdr:rowOff>232250</xdr:rowOff>
    </xdr:from>
    <xdr:to>
      <xdr:col>2</xdr:col>
      <xdr:colOff>577553</xdr:colOff>
      <xdr:row>28</xdr:row>
      <xdr:rowOff>91171</xdr:rowOff>
    </xdr:to>
    <xdr:sp macro="" textlink="">
      <xdr:nvSpPr>
        <xdr:cNvPr id="42" name="Rectangle: Rounded Corners 15">
          <a:hlinkClick xmlns:r="http://schemas.openxmlformats.org/officeDocument/2006/relationships" r:id="rId30"/>
          <a:extLst>
            <a:ext uri="{FF2B5EF4-FFF2-40B4-BE49-F238E27FC236}">
              <a16:creationId xmlns:a16="http://schemas.microsoft.com/office/drawing/2014/main" id="{8D56611E-55BD-4C4C-B809-8836E4D8BE6C}"/>
            </a:ext>
          </a:extLst>
        </xdr:cNvPr>
        <xdr:cNvSpPr/>
      </xdr:nvSpPr>
      <xdr:spPr>
        <a:xfrm>
          <a:off x="757523" y="6175850"/>
          <a:ext cx="1191630" cy="328821"/>
        </a:xfrm>
        <a:prstGeom prst="roundRect">
          <a:avLst/>
        </a:prstGeom>
        <a:solidFill>
          <a:srgbClr val="FF2F9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September20</a:t>
          </a:r>
        </a:p>
      </xdr:txBody>
    </xdr:sp>
    <xdr:clientData/>
  </xdr:twoCellAnchor>
  <xdr:twoCellAnchor>
    <xdr:from>
      <xdr:col>1</xdr:col>
      <xdr:colOff>71723</xdr:colOff>
      <xdr:row>29</xdr:row>
      <xdr:rowOff>59530</xdr:rowOff>
    </xdr:from>
    <xdr:to>
      <xdr:col>2</xdr:col>
      <xdr:colOff>577553</xdr:colOff>
      <xdr:row>30</xdr:row>
      <xdr:rowOff>185151</xdr:rowOff>
    </xdr:to>
    <xdr:sp macro="" textlink="">
      <xdr:nvSpPr>
        <xdr:cNvPr id="43" name="Rectangle: Rounded Corners 15">
          <a:hlinkClick xmlns:r="http://schemas.openxmlformats.org/officeDocument/2006/relationships" r:id="rId31"/>
          <a:extLst>
            <a:ext uri="{FF2B5EF4-FFF2-40B4-BE49-F238E27FC236}">
              <a16:creationId xmlns:a16="http://schemas.microsoft.com/office/drawing/2014/main" id="{4698C0B4-E3FD-DE4E-B5FA-B7B142000B80}"/>
            </a:ext>
          </a:extLst>
        </xdr:cNvPr>
        <xdr:cNvSpPr/>
      </xdr:nvSpPr>
      <xdr:spPr>
        <a:xfrm>
          <a:off x="757523" y="6676230"/>
          <a:ext cx="1191630" cy="328821"/>
        </a:xfrm>
        <a:prstGeom prst="roundRect">
          <a:avLst/>
        </a:prstGeom>
        <a:solidFill>
          <a:srgbClr val="FF2F9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1100" b="1"/>
            <a:t>November20</a:t>
          </a:r>
        </a:p>
      </xdr:txBody>
    </xdr:sp>
    <xdr:clientData/>
  </xdr:twoCellAnchor>
  <xdr:twoCellAnchor>
    <xdr:from>
      <xdr:col>18</xdr:col>
      <xdr:colOff>279399</xdr:colOff>
      <xdr:row>4</xdr:row>
      <xdr:rowOff>63500</xdr:rowOff>
    </xdr:from>
    <xdr:to>
      <xdr:col>23</xdr:col>
      <xdr:colOff>311637</xdr:colOff>
      <xdr:row>6</xdr:row>
      <xdr:rowOff>112346</xdr:rowOff>
    </xdr:to>
    <xdr:sp macro="" textlink="">
      <xdr:nvSpPr>
        <xdr:cNvPr id="45" name="Rounded Rectangle 44">
          <a:extLst>
            <a:ext uri="{FF2B5EF4-FFF2-40B4-BE49-F238E27FC236}">
              <a16:creationId xmlns:a16="http://schemas.microsoft.com/office/drawing/2014/main" id="{7D9E4315-52B3-8546-97F4-E64C2AD00923}"/>
            </a:ext>
          </a:extLst>
        </xdr:cNvPr>
        <xdr:cNvSpPr/>
      </xdr:nvSpPr>
      <xdr:spPr>
        <a:xfrm>
          <a:off x="13662024" y="863600"/>
          <a:ext cx="3994638" cy="448896"/>
        </a:xfrm>
        <a:prstGeom prst="roundRect">
          <a:avLst/>
        </a:prstGeom>
        <a:solidFill>
          <a:srgbClr val="FF2F9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Summary Statistics 2020</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111125</xdr:rowOff>
    </xdr:from>
    <xdr:to>
      <xdr:col>25</xdr:col>
      <xdr:colOff>254000</xdr:colOff>
      <xdr:row>45</xdr:row>
      <xdr:rowOff>158750</xdr:rowOff>
    </xdr:to>
    <xdr:graphicFrame macro="">
      <xdr:nvGraphicFramePr>
        <xdr:cNvPr id="3" name="Chart 2">
          <a:extLst>
            <a:ext uri="{FF2B5EF4-FFF2-40B4-BE49-F238E27FC236}">
              <a16:creationId xmlns:a16="http://schemas.microsoft.com/office/drawing/2014/main" id="{BA0AB40D-5839-334F-A143-DBD7590251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76201</xdr:rowOff>
    </xdr:from>
    <xdr:to>
      <xdr:col>13</xdr:col>
      <xdr:colOff>152400</xdr:colOff>
      <xdr:row>31</xdr:row>
      <xdr:rowOff>177800</xdr:rowOff>
    </xdr:to>
    <xdr:graphicFrame macro="">
      <xdr:nvGraphicFramePr>
        <xdr:cNvPr id="4" name="Chart 3">
          <a:extLst>
            <a:ext uri="{FF2B5EF4-FFF2-40B4-BE49-F238E27FC236}">
              <a16:creationId xmlns:a16="http://schemas.microsoft.com/office/drawing/2014/main" id="{5CA834E5-07B5-0D42-B736-516687C5B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301623</xdr:colOff>
      <xdr:row>2</xdr:row>
      <xdr:rowOff>127000</xdr:rowOff>
    </xdr:from>
    <xdr:to>
      <xdr:col>25</xdr:col>
      <xdr:colOff>492124</xdr:colOff>
      <xdr:row>30</xdr:row>
      <xdr:rowOff>126999</xdr:rowOff>
    </xdr:to>
    <xdr:graphicFrame macro="">
      <xdr:nvGraphicFramePr>
        <xdr:cNvPr id="6" name="Chart 5">
          <a:extLst>
            <a:ext uri="{FF2B5EF4-FFF2-40B4-BE49-F238E27FC236}">
              <a16:creationId xmlns:a16="http://schemas.microsoft.com/office/drawing/2014/main" id="{8BAC8104-BF13-1646-85D3-7EAF7D8DE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47350</xdr:colOff>
      <xdr:row>1</xdr:row>
      <xdr:rowOff>108414</xdr:rowOff>
    </xdr:from>
    <xdr:to>
      <xdr:col>13</xdr:col>
      <xdr:colOff>495610</xdr:colOff>
      <xdr:row>37</xdr:row>
      <xdr:rowOff>123902</xdr:rowOff>
    </xdr:to>
    <xdr:graphicFrame macro="">
      <xdr:nvGraphicFramePr>
        <xdr:cNvPr id="4" name="Chart 3">
          <a:extLst>
            <a:ext uri="{FF2B5EF4-FFF2-40B4-BE49-F238E27FC236}">
              <a16:creationId xmlns:a16="http://schemas.microsoft.com/office/drawing/2014/main" id="{1836E088-CD5B-9944-962A-B6D964310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665977</xdr:colOff>
      <xdr:row>4</xdr:row>
      <xdr:rowOff>77439</xdr:rowOff>
    </xdr:from>
    <xdr:to>
      <xdr:col>25</xdr:col>
      <xdr:colOff>480124</xdr:colOff>
      <xdr:row>34</xdr:row>
      <xdr:rowOff>154878</xdr:rowOff>
    </xdr:to>
    <xdr:graphicFrame macro="">
      <xdr:nvGraphicFramePr>
        <xdr:cNvPr id="5" name="Chart 4">
          <a:extLst>
            <a:ext uri="{FF2B5EF4-FFF2-40B4-BE49-F238E27FC236}">
              <a16:creationId xmlns:a16="http://schemas.microsoft.com/office/drawing/2014/main" id="{85FBE198-F92E-CA4A-8A13-09D3A5602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xdr:row>
      <xdr:rowOff>56445</xdr:rowOff>
    </xdr:from>
    <xdr:to>
      <xdr:col>18</xdr:col>
      <xdr:colOff>70556</xdr:colOff>
      <xdr:row>41</xdr:row>
      <xdr:rowOff>155222</xdr:rowOff>
    </xdr:to>
    <xdr:graphicFrame macro="">
      <xdr:nvGraphicFramePr>
        <xdr:cNvPr id="3" name="Chart 2">
          <a:extLst>
            <a:ext uri="{FF2B5EF4-FFF2-40B4-BE49-F238E27FC236}">
              <a16:creationId xmlns:a16="http://schemas.microsoft.com/office/drawing/2014/main" id="{110DCDC6-FCAE-9F4F-A32D-7CBBA4737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21</xdr:col>
      <xdr:colOff>44450</xdr:colOff>
      <xdr:row>4</xdr:row>
      <xdr:rowOff>50800</xdr:rowOff>
    </xdr:from>
    <xdr:to>
      <xdr:col>28</xdr:col>
      <xdr:colOff>260350</xdr:colOff>
      <xdr:row>30</xdr:row>
      <xdr:rowOff>79375</xdr:rowOff>
    </xdr:to>
    <xdr:graphicFrame macro="">
      <xdr:nvGraphicFramePr>
        <xdr:cNvPr id="4" name="Chart 3">
          <a:extLst>
            <a:ext uri="{FF2B5EF4-FFF2-40B4-BE49-F238E27FC236}">
              <a16:creationId xmlns:a16="http://schemas.microsoft.com/office/drawing/2014/main" id="{481888B4-F89B-9646-8C48-CFEA7BBBA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1</xdr:row>
      <xdr:rowOff>38100</xdr:rowOff>
    </xdr:from>
    <xdr:to>
      <xdr:col>13</xdr:col>
      <xdr:colOff>317500</xdr:colOff>
      <xdr:row>34</xdr:row>
      <xdr:rowOff>114300</xdr:rowOff>
    </xdr:to>
    <xdr:graphicFrame macro="">
      <xdr:nvGraphicFramePr>
        <xdr:cNvPr id="7" name="Chart 6">
          <a:extLst>
            <a:ext uri="{FF2B5EF4-FFF2-40B4-BE49-F238E27FC236}">
              <a16:creationId xmlns:a16="http://schemas.microsoft.com/office/drawing/2014/main" id="{DAC96A1C-0E83-9849-B588-FC906EF05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406400</xdr:colOff>
      <xdr:row>4</xdr:row>
      <xdr:rowOff>63500</xdr:rowOff>
    </xdr:from>
    <xdr:to>
      <xdr:col>20</xdr:col>
      <xdr:colOff>762000</xdr:colOff>
      <xdr:row>30</xdr:row>
      <xdr:rowOff>38100</xdr:rowOff>
    </xdr:to>
    <xdr:graphicFrame macro="">
      <xdr:nvGraphicFramePr>
        <xdr:cNvPr id="8" name="Chart 7">
          <a:extLst>
            <a:ext uri="{FF2B5EF4-FFF2-40B4-BE49-F238E27FC236}">
              <a16:creationId xmlns:a16="http://schemas.microsoft.com/office/drawing/2014/main" id="{07D43B94-4722-D247-9BA5-43F6B003E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3</xdr:row>
      <xdr:rowOff>0</xdr:rowOff>
    </xdr:from>
    <xdr:to>
      <xdr:col>17</xdr:col>
      <xdr:colOff>663222</xdr:colOff>
      <xdr:row>42</xdr:row>
      <xdr:rowOff>70556</xdr:rowOff>
    </xdr:to>
    <xdr:graphicFrame macro="">
      <xdr:nvGraphicFramePr>
        <xdr:cNvPr id="4" name="Chart 3">
          <a:extLst>
            <a:ext uri="{FF2B5EF4-FFF2-40B4-BE49-F238E27FC236}">
              <a16:creationId xmlns:a16="http://schemas.microsoft.com/office/drawing/2014/main" id="{632E9C1B-B60D-A647-9EBF-FB6A4F000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A00"/>
  </sheetPr>
  <dimension ref="A1:AH94"/>
  <sheetViews>
    <sheetView tabSelected="1" topLeftCell="A3" zoomScale="80" zoomScaleNormal="80" workbookViewId="0">
      <selection activeCell="T66" sqref="T66"/>
    </sheetView>
  </sheetViews>
  <sheetFormatPr baseColWidth="10" defaultColWidth="10.6640625" defaultRowHeight="16" x14ac:dyDescent="0.2"/>
  <sheetData>
    <row r="1" spans="1:34" x14ac:dyDescent="0.2">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row>
    <row r="2" spans="1:34" x14ac:dyDescent="0.2">
      <c r="A2" s="76"/>
      <c r="B2" s="76"/>
      <c r="C2" s="76"/>
      <c r="D2" s="76"/>
      <c r="E2" s="76"/>
      <c r="F2" s="76"/>
      <c r="G2" s="76"/>
      <c r="H2" s="76"/>
      <c r="I2" s="76"/>
      <c r="J2" s="76"/>
      <c r="K2" s="76"/>
      <c r="L2" s="76"/>
      <c r="M2" s="76"/>
      <c r="N2" s="76"/>
      <c r="O2" s="76"/>
      <c r="P2" s="76"/>
      <c r="Q2" s="76"/>
      <c r="R2" s="76"/>
      <c r="S2" s="76"/>
      <c r="T2" s="76"/>
      <c r="U2" s="76"/>
      <c r="V2" s="76"/>
      <c r="W2" s="76"/>
      <c r="X2" s="76"/>
      <c r="Y2" s="76"/>
      <c r="Z2" s="76"/>
      <c r="AA2" s="76"/>
      <c r="AB2" s="76"/>
      <c r="AC2" s="76"/>
      <c r="AD2" s="76"/>
      <c r="AE2" s="76"/>
      <c r="AF2" s="76"/>
      <c r="AG2" s="76"/>
      <c r="AH2" s="76"/>
    </row>
    <row r="3" spans="1:34" x14ac:dyDescent="0.2">
      <c r="A3" s="76"/>
      <c r="B3" s="76"/>
      <c r="C3" s="76"/>
      <c r="D3" s="76"/>
      <c r="E3" s="76"/>
      <c r="F3" s="76"/>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row>
    <row r="4" spans="1:34" x14ac:dyDescent="0.2">
      <c r="A4" s="76"/>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row>
    <row r="5" spans="1:34" x14ac:dyDescent="0.2">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c r="AF5" s="76"/>
      <c r="AG5" s="76"/>
      <c r="AH5" s="76"/>
    </row>
    <row r="6" spans="1:34" x14ac:dyDescent="0.2">
      <c r="A6" s="76"/>
      <c r="B6" s="76"/>
      <c r="C6" s="76"/>
      <c r="D6" s="76"/>
      <c r="E6" s="76"/>
      <c r="F6" s="76"/>
      <c r="G6" s="76"/>
      <c r="H6" s="76"/>
      <c r="I6" s="76"/>
      <c r="J6" s="76"/>
      <c r="K6" s="76"/>
      <c r="L6" s="76"/>
      <c r="M6" s="76"/>
      <c r="N6" s="76"/>
      <c r="O6" s="76"/>
      <c r="P6" s="76"/>
      <c r="Q6" s="76"/>
      <c r="R6" s="76"/>
      <c r="S6" s="76"/>
      <c r="T6" s="76"/>
      <c r="U6" s="76"/>
      <c r="V6" s="76"/>
      <c r="W6" s="76"/>
      <c r="X6" s="76"/>
      <c r="Y6" s="76"/>
      <c r="Z6" s="76"/>
      <c r="AA6" s="76"/>
      <c r="AB6" s="76"/>
      <c r="AC6" s="76"/>
      <c r="AD6" s="76"/>
      <c r="AE6" s="76"/>
      <c r="AF6" s="76"/>
      <c r="AG6" s="76"/>
      <c r="AH6" s="76"/>
    </row>
    <row r="7" spans="1:34" x14ac:dyDescent="0.2">
      <c r="A7" s="76"/>
      <c r="B7" s="76"/>
      <c r="C7" s="76"/>
      <c r="D7" s="76"/>
      <c r="E7" s="76"/>
      <c r="F7" s="76"/>
      <c r="G7" s="76"/>
      <c r="H7" s="76"/>
      <c r="I7" s="76"/>
      <c r="J7" s="76"/>
      <c r="K7" s="76"/>
      <c r="L7" s="76"/>
      <c r="M7" s="76"/>
      <c r="N7" s="76"/>
      <c r="O7" s="76"/>
      <c r="P7" s="76"/>
      <c r="Q7" s="76"/>
      <c r="R7" s="76"/>
      <c r="S7" s="76"/>
      <c r="T7" s="76"/>
      <c r="U7" s="76"/>
      <c r="V7" s="76"/>
      <c r="W7" s="76"/>
      <c r="X7" s="76"/>
      <c r="Y7" s="76"/>
      <c r="Z7" s="76"/>
      <c r="AA7" s="76"/>
      <c r="AB7" s="76"/>
      <c r="AC7" s="76"/>
      <c r="AD7" s="76"/>
      <c r="AE7" s="76"/>
      <c r="AF7" s="76"/>
      <c r="AG7" s="76"/>
      <c r="AH7" s="76"/>
    </row>
    <row r="8" spans="1:34" x14ac:dyDescent="0.2">
      <c r="A8" s="76"/>
      <c r="B8" s="76"/>
      <c r="C8" s="76"/>
      <c r="D8" s="76"/>
      <c r="E8" s="76"/>
      <c r="F8" s="76"/>
      <c r="G8" s="76"/>
      <c r="H8" s="76"/>
      <c r="I8" s="76"/>
      <c r="J8" s="76"/>
      <c r="K8" s="76"/>
      <c r="L8" s="76"/>
      <c r="M8" s="76"/>
      <c r="N8" s="76"/>
      <c r="O8" s="76"/>
      <c r="P8" s="76"/>
      <c r="Q8" s="76"/>
      <c r="R8" s="76"/>
      <c r="S8" s="76"/>
      <c r="T8" s="76"/>
      <c r="U8" s="76"/>
      <c r="V8" s="76"/>
      <c r="W8" s="76"/>
      <c r="X8" s="76"/>
      <c r="Y8" s="76"/>
      <c r="Z8" s="76"/>
      <c r="AA8" s="76"/>
      <c r="AB8" s="76"/>
      <c r="AC8" s="76"/>
      <c r="AD8" s="76"/>
      <c r="AE8" s="76"/>
      <c r="AF8" s="76"/>
      <c r="AG8" s="76"/>
      <c r="AH8" s="76"/>
    </row>
    <row r="9" spans="1:34" x14ac:dyDescent="0.2">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row>
    <row r="10" spans="1:34" x14ac:dyDescent="0.2">
      <c r="A10" s="76"/>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row>
    <row r="11" spans="1:34" x14ac:dyDescent="0.2">
      <c r="A11" s="76"/>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row>
    <row r="12" spans="1:34" x14ac:dyDescent="0.2">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c r="AF12" s="76"/>
      <c r="AG12" s="76"/>
      <c r="AH12" s="76"/>
    </row>
    <row r="13" spans="1:34" x14ac:dyDescent="0.2">
      <c r="A13" s="76"/>
      <c r="B13" s="76"/>
      <c r="C13" s="76"/>
      <c r="D13" s="76"/>
      <c r="E13" s="76"/>
      <c r="F13" s="76"/>
      <c r="G13" s="76"/>
      <c r="H13" s="76"/>
      <c r="I13" s="76"/>
      <c r="J13" s="76"/>
      <c r="K13" s="76"/>
      <c r="L13" s="76"/>
      <c r="M13" s="76"/>
      <c r="N13" s="76"/>
      <c r="O13" s="76"/>
      <c r="P13" s="76"/>
      <c r="Q13" s="76"/>
      <c r="R13" s="76"/>
      <c r="S13" s="77"/>
      <c r="T13" s="76"/>
      <c r="U13" s="76"/>
      <c r="V13" s="76"/>
      <c r="W13" s="76"/>
      <c r="X13" s="76"/>
      <c r="Y13" s="76"/>
      <c r="Z13" s="76"/>
      <c r="AA13" s="76"/>
      <c r="AB13" s="76"/>
      <c r="AC13" s="76"/>
      <c r="AD13" s="76"/>
      <c r="AE13" s="76"/>
      <c r="AF13" s="76"/>
      <c r="AG13" s="76"/>
      <c r="AH13" s="76"/>
    </row>
    <row r="14" spans="1:34" x14ac:dyDescent="0.2">
      <c r="A14" s="76"/>
      <c r="B14" s="76"/>
      <c r="C14" s="76"/>
      <c r="D14" s="76"/>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row>
    <row r="15" spans="1:34" x14ac:dyDescent="0.2">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row>
    <row r="16" spans="1:34" x14ac:dyDescent="0.2">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6"/>
      <c r="AD16" s="76"/>
      <c r="AE16" s="76"/>
      <c r="AF16" s="76"/>
      <c r="AG16" s="76"/>
      <c r="AH16" s="76"/>
    </row>
    <row r="17" spans="1:34" x14ac:dyDescent="0.2">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row>
    <row r="18" spans="1:34" x14ac:dyDescent="0.2">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row>
    <row r="19" spans="1:34" x14ac:dyDescent="0.2">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row>
    <row r="20" spans="1:34" x14ac:dyDescent="0.2">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6"/>
      <c r="AE20" s="76"/>
      <c r="AF20" s="76"/>
      <c r="AG20" s="76"/>
      <c r="AH20" s="76"/>
    </row>
    <row r="21" spans="1:34" x14ac:dyDescent="0.2">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row>
    <row r="22" spans="1:34" x14ac:dyDescent="0.2">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76"/>
    </row>
    <row r="23" spans="1:34" x14ac:dyDescent="0.2">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6"/>
      <c r="AD23" s="76"/>
      <c r="AE23" s="76"/>
      <c r="AF23" s="76"/>
      <c r="AG23" s="76"/>
      <c r="AH23" s="76"/>
    </row>
    <row r="24" spans="1:34" x14ac:dyDescent="0.2">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76"/>
    </row>
    <row r="25" spans="1:34" x14ac:dyDescent="0.2">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76"/>
    </row>
    <row r="26" spans="1:34" x14ac:dyDescent="0.2">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row>
    <row r="27" spans="1:34" x14ac:dyDescent="0.2">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76"/>
    </row>
    <row r="28" spans="1:34" x14ac:dyDescent="0.2">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76"/>
    </row>
    <row r="29" spans="1:34" x14ac:dyDescent="0.2">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76"/>
    </row>
    <row r="30" spans="1:34" x14ac:dyDescent="0.2">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76"/>
    </row>
    <row r="31" spans="1:34" x14ac:dyDescent="0.2">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76"/>
    </row>
    <row r="32" spans="1:34" x14ac:dyDescent="0.2">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76"/>
    </row>
    <row r="33" spans="1:34" x14ac:dyDescent="0.2">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76"/>
    </row>
    <row r="34" spans="1:34" x14ac:dyDescent="0.2">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76"/>
    </row>
    <row r="35" spans="1:34" x14ac:dyDescent="0.2">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76"/>
    </row>
    <row r="36" spans="1:34" x14ac:dyDescent="0.2">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76"/>
    </row>
    <row r="37" spans="1:34" x14ac:dyDescent="0.2">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76"/>
    </row>
    <row r="38" spans="1:34" x14ac:dyDescent="0.2">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76"/>
    </row>
    <row r="39" spans="1:34" x14ac:dyDescent="0.2">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76"/>
    </row>
    <row r="40" spans="1:34" x14ac:dyDescent="0.2">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row>
    <row r="41" spans="1:34" x14ac:dyDescent="0.2">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76"/>
    </row>
    <row r="42" spans="1:34" x14ac:dyDescent="0.2">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76"/>
    </row>
    <row r="43" spans="1:34" x14ac:dyDescent="0.2">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76"/>
    </row>
    <row r="44" spans="1:34" x14ac:dyDescent="0.2">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row>
    <row r="45" spans="1:34" x14ac:dyDescent="0.2">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76"/>
    </row>
    <row r="46" spans="1:34" x14ac:dyDescent="0.2">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76"/>
    </row>
    <row r="47" spans="1:34" x14ac:dyDescent="0.2">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76"/>
    </row>
    <row r="48" spans="1:34" x14ac:dyDescent="0.2">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76"/>
    </row>
    <row r="49" spans="1:34" x14ac:dyDescent="0.2">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76"/>
    </row>
    <row r="50" spans="1:34" x14ac:dyDescent="0.2">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76"/>
    </row>
    <row r="51" spans="1:34" x14ac:dyDescent="0.2">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row>
    <row r="52" spans="1:34" x14ac:dyDescent="0.2">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row>
    <row r="53" spans="1:34" x14ac:dyDescent="0.2">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row>
    <row r="54" spans="1:34" x14ac:dyDescent="0.2">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row>
    <row r="55" spans="1:34" x14ac:dyDescent="0.2">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row>
    <row r="56" spans="1:34" x14ac:dyDescent="0.2">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row>
    <row r="57" spans="1:34" x14ac:dyDescent="0.2">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row>
    <row r="58" spans="1:34" x14ac:dyDescent="0.2">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row>
    <row r="59" spans="1:34" x14ac:dyDescent="0.2">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row>
    <row r="60" spans="1:34" x14ac:dyDescent="0.2">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row>
    <row r="61" spans="1:34" x14ac:dyDescent="0.2">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6"/>
    </row>
    <row r="62" spans="1:34" x14ac:dyDescent="0.2">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row>
    <row r="63" spans="1:34" x14ac:dyDescent="0.2">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row>
    <row r="64" spans="1:34" x14ac:dyDescent="0.2">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row>
    <row r="65" spans="1:34" x14ac:dyDescent="0.2">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row>
    <row r="66" spans="1:34" x14ac:dyDescent="0.2">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76"/>
    </row>
    <row r="67" spans="1:34" x14ac:dyDescent="0.2">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row>
    <row r="68" spans="1:34" x14ac:dyDescent="0.2">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row>
    <row r="69" spans="1:34" x14ac:dyDescent="0.2">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row>
    <row r="70" spans="1:34" x14ac:dyDescent="0.2">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row>
    <row r="71" spans="1:34" x14ac:dyDescent="0.2">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row>
    <row r="72" spans="1:34" x14ac:dyDescent="0.2">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row>
    <row r="73" spans="1:34" x14ac:dyDescent="0.2">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row>
    <row r="74" spans="1:34" x14ac:dyDescent="0.2">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row>
    <row r="75" spans="1:34" x14ac:dyDescent="0.2">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76"/>
    </row>
    <row r="76" spans="1:34" x14ac:dyDescent="0.2">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row>
    <row r="77" spans="1:34" x14ac:dyDescent="0.2">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76"/>
    </row>
    <row r="78" spans="1:34" x14ac:dyDescent="0.2">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row>
    <row r="79" spans="1:34" x14ac:dyDescent="0.2">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row>
    <row r="80" spans="1:34" x14ac:dyDescent="0.2">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76"/>
    </row>
    <row r="81" spans="1:34" x14ac:dyDescent="0.2">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row>
    <row r="82" spans="1:34" x14ac:dyDescent="0.2">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c r="AA82" s="76"/>
      <c r="AB82" s="76"/>
      <c r="AC82" s="76"/>
      <c r="AD82" s="76"/>
      <c r="AE82" s="76"/>
      <c r="AF82" s="76"/>
      <c r="AG82" s="76"/>
      <c r="AH82" s="76"/>
    </row>
    <row r="83" spans="1:34" x14ac:dyDescent="0.2">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row>
    <row r="84" spans="1:34" x14ac:dyDescent="0.2">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c r="AA84" s="76"/>
      <c r="AB84" s="76"/>
      <c r="AC84" s="76"/>
      <c r="AD84" s="76"/>
      <c r="AE84" s="76"/>
      <c r="AF84" s="76"/>
      <c r="AG84" s="76"/>
      <c r="AH84" s="76"/>
    </row>
    <row r="85" spans="1:34" x14ac:dyDescent="0.2">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c r="AA85" s="76"/>
      <c r="AB85" s="76"/>
      <c r="AC85" s="76"/>
      <c r="AD85" s="76"/>
      <c r="AE85" s="76"/>
      <c r="AF85" s="76"/>
      <c r="AG85" s="76"/>
      <c r="AH85" s="76"/>
    </row>
    <row r="86" spans="1:34" x14ac:dyDescent="0.2">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c r="AA86" s="76"/>
      <c r="AB86" s="76"/>
      <c r="AC86" s="76"/>
      <c r="AD86" s="76"/>
      <c r="AE86" s="76"/>
      <c r="AF86" s="76"/>
      <c r="AG86" s="76"/>
      <c r="AH86" s="76"/>
    </row>
    <row r="87" spans="1:34" x14ac:dyDescent="0.2">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c r="AA87" s="76"/>
      <c r="AB87" s="76"/>
      <c r="AC87" s="76"/>
      <c r="AD87" s="76"/>
      <c r="AE87" s="76"/>
      <c r="AF87" s="76"/>
      <c r="AG87" s="76"/>
      <c r="AH87" s="76"/>
    </row>
    <row r="88" spans="1:34" x14ac:dyDescent="0.2">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row>
    <row r="89" spans="1:34" x14ac:dyDescent="0.2">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c r="AA89" s="76"/>
      <c r="AB89" s="76"/>
      <c r="AC89" s="76"/>
      <c r="AD89" s="76"/>
      <c r="AE89" s="76"/>
      <c r="AF89" s="76"/>
      <c r="AG89" s="76"/>
      <c r="AH89" s="76"/>
    </row>
    <row r="90" spans="1:34" x14ac:dyDescent="0.2">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c r="AA90" s="76"/>
      <c r="AB90" s="76"/>
      <c r="AC90" s="76"/>
      <c r="AD90" s="76"/>
      <c r="AE90" s="76"/>
      <c r="AF90" s="76"/>
      <c r="AG90" s="76"/>
      <c r="AH90" s="76"/>
    </row>
    <row r="91" spans="1:34" x14ac:dyDescent="0.2">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c r="AA91" s="76"/>
      <c r="AB91" s="76"/>
      <c r="AC91" s="76"/>
      <c r="AD91" s="76"/>
      <c r="AE91" s="76"/>
      <c r="AF91" s="76"/>
      <c r="AG91" s="76"/>
      <c r="AH91" s="76"/>
    </row>
    <row r="92" spans="1:34" x14ac:dyDescent="0.2">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c r="AA92" s="76"/>
      <c r="AB92" s="76"/>
      <c r="AC92" s="76"/>
      <c r="AD92" s="76"/>
      <c r="AE92" s="76"/>
      <c r="AF92" s="76"/>
      <c r="AG92" s="76"/>
      <c r="AH92" s="76"/>
    </row>
    <row r="93" spans="1:34" x14ac:dyDescent="0.2">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c r="AA93" s="76"/>
      <c r="AB93" s="76"/>
      <c r="AC93" s="76"/>
      <c r="AD93" s="76"/>
      <c r="AE93" s="76"/>
      <c r="AF93" s="76"/>
      <c r="AG93" s="76"/>
      <c r="AH93" s="76"/>
    </row>
    <row r="94" spans="1:34" x14ac:dyDescent="0.2">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c r="AA94" s="76"/>
      <c r="AB94" s="76"/>
      <c r="AC94" s="76"/>
      <c r="AD94" s="76"/>
      <c r="AE94" s="76"/>
      <c r="AF94" s="76"/>
      <c r="AG94" s="76"/>
      <c r="AH94" s="7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N7:W28"/>
  <sheetViews>
    <sheetView zoomScaleNormal="100" workbookViewId="0"/>
  </sheetViews>
  <sheetFormatPr baseColWidth="10" defaultColWidth="9" defaultRowHeight="16" x14ac:dyDescent="0.2"/>
  <cols>
    <col min="1" max="13" width="9" style="71"/>
    <col min="14" max="14" width="2.33203125" style="71" customWidth="1"/>
    <col min="15" max="15" width="12.5" style="71" bestFit="1" customWidth="1"/>
    <col min="16" max="16" width="21" style="71" customWidth="1"/>
    <col min="17" max="17" width="10.33203125" style="71" customWidth="1"/>
    <col min="18" max="18" width="12.33203125" style="71" customWidth="1"/>
    <col min="19" max="19" width="4.83203125" style="71" customWidth="1"/>
    <col min="20" max="20" width="12.1640625" style="71" customWidth="1"/>
    <col min="21" max="21" width="14.5" style="71" customWidth="1"/>
    <col min="22" max="22" width="9.5" style="71" customWidth="1"/>
    <col min="23" max="23" width="11" style="71" customWidth="1"/>
    <col min="24" max="16384" width="9" style="71"/>
  </cols>
  <sheetData>
    <row r="7" spans="14:23" ht="17" thickBot="1" x14ac:dyDescent="0.25">
      <c r="O7" s="84"/>
      <c r="P7" s="84"/>
      <c r="Q7" s="84"/>
      <c r="R7" s="84"/>
    </row>
    <row r="8" spans="14:23" ht="21" thickTop="1" thickBot="1" x14ac:dyDescent="0.3">
      <c r="N8" s="2"/>
      <c r="O8" s="95"/>
      <c r="P8" s="96" t="s">
        <v>61</v>
      </c>
      <c r="Q8" s="97"/>
      <c r="R8" s="96" t="s">
        <v>62</v>
      </c>
      <c r="S8" s="2"/>
      <c r="T8" s="198"/>
      <c r="U8" s="199" t="s">
        <v>61</v>
      </c>
      <c r="V8" s="200"/>
      <c r="W8" s="199" t="s">
        <v>62</v>
      </c>
    </row>
    <row r="9" spans="14:23" ht="19" x14ac:dyDescent="0.25">
      <c r="N9" s="2"/>
      <c r="O9" s="172" t="s">
        <v>63</v>
      </c>
      <c r="P9" s="173">
        <f>'Annual log'!AC11</f>
        <v>8337</v>
      </c>
      <c r="Q9" s="174"/>
      <c r="R9" s="175"/>
      <c r="S9" s="2"/>
      <c r="T9" s="172" t="s">
        <v>63</v>
      </c>
      <c r="U9" s="173">
        <f>'Annual log'!AB11</f>
        <v>3217</v>
      </c>
      <c r="V9" s="174"/>
      <c r="W9" s="175"/>
    </row>
    <row r="10" spans="14:23" ht="19" x14ac:dyDescent="0.25">
      <c r="N10" s="2"/>
      <c r="O10" s="57"/>
      <c r="P10" s="85"/>
      <c r="Q10" s="86"/>
      <c r="R10" s="85"/>
      <c r="S10" s="2"/>
      <c r="T10" s="57"/>
      <c r="U10" s="85"/>
      <c r="V10" s="86"/>
      <c r="W10" s="85"/>
    </row>
    <row r="11" spans="14:23" ht="19" x14ac:dyDescent="0.25">
      <c r="N11" s="2"/>
      <c r="O11" s="57" t="s">
        <v>21</v>
      </c>
      <c r="P11" s="85">
        <f>'Annual log'!AC17</f>
        <v>8159</v>
      </c>
      <c r="Q11" s="86"/>
      <c r="R11" s="85"/>
      <c r="S11" s="2"/>
      <c r="T11" s="57" t="s">
        <v>21</v>
      </c>
      <c r="U11" s="85">
        <f>'Annual log'!AB17</f>
        <v>3151</v>
      </c>
      <c r="V11" s="86"/>
      <c r="W11" s="85"/>
    </row>
    <row r="12" spans="14:23" ht="19" x14ac:dyDescent="0.25">
      <c r="N12" s="2"/>
      <c r="O12" s="57"/>
      <c r="P12" s="85"/>
      <c r="Q12" s="86"/>
      <c r="R12" s="85"/>
      <c r="S12" s="2"/>
      <c r="T12" s="57"/>
      <c r="U12" s="85"/>
      <c r="V12" s="86"/>
      <c r="W12" s="85"/>
    </row>
    <row r="13" spans="14:23" ht="19" x14ac:dyDescent="0.25">
      <c r="N13" s="2"/>
      <c r="O13" s="88" t="s">
        <v>58</v>
      </c>
      <c r="P13" s="89">
        <f>'Annual log'!AC26+'Annual log'!AC14</f>
        <v>258</v>
      </c>
      <c r="Q13" s="90"/>
      <c r="R13" s="91">
        <f>Indicators!C5</f>
        <v>30.946383591219863</v>
      </c>
      <c r="S13" s="2"/>
      <c r="T13" s="88" t="s">
        <v>58</v>
      </c>
      <c r="U13" s="89">
        <f>'Annual log'!AB26+'Annual log'!AB14</f>
        <v>107</v>
      </c>
      <c r="V13" s="90"/>
      <c r="W13" s="91">
        <f>Indicators!P5</f>
        <v>33.260801989431151</v>
      </c>
    </row>
    <row r="14" spans="14:23" ht="19" x14ac:dyDescent="0.25">
      <c r="N14" s="2"/>
      <c r="O14" s="57"/>
      <c r="P14" s="85"/>
      <c r="Q14" s="86"/>
      <c r="R14" s="87"/>
      <c r="S14" s="2"/>
      <c r="T14" s="57"/>
      <c r="U14" s="85"/>
      <c r="V14" s="86"/>
      <c r="W14" s="87"/>
    </row>
    <row r="15" spans="14:23" ht="19" x14ac:dyDescent="0.25">
      <c r="N15" s="2"/>
      <c r="O15" s="57" t="s">
        <v>59</v>
      </c>
      <c r="P15" s="85">
        <f>'Annual log'!AC25</f>
        <v>119</v>
      </c>
      <c r="Q15" s="86"/>
      <c r="R15" s="87">
        <f>Indicators!C6</f>
        <v>14.585120725579117</v>
      </c>
      <c r="S15" s="2"/>
      <c r="T15" s="57" t="s">
        <v>59</v>
      </c>
      <c r="U15" s="85">
        <f>'Annual log'!AB25</f>
        <v>49</v>
      </c>
      <c r="V15" s="86"/>
      <c r="W15" s="87">
        <f>Indicators!P6</f>
        <v>15.550618851158363</v>
      </c>
    </row>
    <row r="16" spans="14:23" ht="19" x14ac:dyDescent="0.25">
      <c r="N16" s="2"/>
      <c r="O16" s="57"/>
      <c r="P16" s="85"/>
      <c r="Q16" s="86"/>
      <c r="R16" s="87"/>
      <c r="S16" s="2"/>
      <c r="T16" s="57"/>
      <c r="U16" s="85"/>
      <c r="V16" s="86"/>
      <c r="W16" s="87"/>
    </row>
    <row r="17" spans="14:23" ht="19" x14ac:dyDescent="0.25">
      <c r="N17" s="2"/>
      <c r="O17" s="88" t="s">
        <v>60</v>
      </c>
      <c r="P17" s="89">
        <f>'Annual log'!AC14</f>
        <v>163</v>
      </c>
      <c r="Q17" s="90"/>
      <c r="R17" s="91">
        <f>Indicators!C2</f>
        <v>19.551397385150533</v>
      </c>
      <c r="S17" s="2"/>
      <c r="T17" s="88" t="s">
        <v>60</v>
      </c>
      <c r="U17" s="89">
        <f>'Annual log'!AB14</f>
        <v>66</v>
      </c>
      <c r="V17" s="90"/>
      <c r="W17" s="91">
        <f>Indicators!P2</f>
        <v>20.516008703761266</v>
      </c>
    </row>
    <row r="18" spans="14:23" ht="19" x14ac:dyDescent="0.25">
      <c r="N18" s="2"/>
      <c r="O18" s="57"/>
      <c r="P18" s="85"/>
      <c r="Q18" s="86"/>
      <c r="R18" s="87"/>
      <c r="S18" s="2"/>
      <c r="T18" s="57"/>
      <c r="U18" s="85"/>
      <c r="V18" s="86"/>
      <c r="W18" s="87"/>
    </row>
    <row r="19" spans="14:23" ht="20" thickBot="1" x14ac:dyDescent="0.3">
      <c r="N19" s="2"/>
      <c r="O19" s="92" t="s">
        <v>95</v>
      </c>
      <c r="P19" s="176">
        <f>Indicators!C15</f>
        <v>20</v>
      </c>
      <c r="Q19" s="93"/>
      <c r="R19" s="94">
        <f>Indicators!C7</f>
        <v>245.12807942149774</v>
      </c>
      <c r="S19" s="2"/>
      <c r="T19" s="92" t="s">
        <v>95</v>
      </c>
      <c r="U19" s="176">
        <f>Indicators!P15</f>
        <v>4</v>
      </c>
      <c r="V19" s="93"/>
      <c r="W19" s="94">
        <f>Indicators!P7</f>
        <v>126.94382735639479</v>
      </c>
    </row>
    <row r="20" spans="14:23" ht="17" thickTop="1" x14ac:dyDescent="0.2">
      <c r="N20" s="2"/>
      <c r="O20" s="2"/>
      <c r="P20" s="2"/>
      <c r="Q20" s="2"/>
      <c r="R20" s="2"/>
      <c r="S20" s="2"/>
      <c r="T20" s="2"/>
      <c r="U20" s="2"/>
      <c r="V20" s="2"/>
      <c r="W20" s="2"/>
    </row>
    <row r="21" spans="14:23" x14ac:dyDescent="0.2">
      <c r="N21" s="2"/>
      <c r="S21" s="2"/>
    </row>
    <row r="22" spans="14:23" ht="17" thickBot="1" x14ac:dyDescent="0.25">
      <c r="N22" s="2"/>
      <c r="S22" s="2"/>
    </row>
    <row r="23" spans="14:23" ht="17" thickTop="1" x14ac:dyDescent="0.2">
      <c r="N23" s="2"/>
      <c r="O23" s="150"/>
      <c r="P23" s="150"/>
      <c r="Q23" s="150"/>
      <c r="R23" s="150"/>
      <c r="S23" s="2"/>
    </row>
    <row r="24" spans="14:23" ht="19" x14ac:dyDescent="0.25">
      <c r="N24" s="2"/>
      <c r="O24" s="251" t="s">
        <v>87</v>
      </c>
      <c r="P24" s="251"/>
      <c r="Q24" s="177">
        <f>COUNT(Recommendations!A:A)</f>
        <v>20</v>
      </c>
      <c r="R24" s="178"/>
      <c r="S24" s="178"/>
    </row>
    <row r="25" spans="14:23" ht="19" x14ac:dyDescent="0.25">
      <c r="N25" s="2"/>
      <c r="O25" s="178"/>
      <c r="P25" s="178"/>
      <c r="Q25" s="179"/>
      <c r="R25" s="178"/>
      <c r="S25" s="178"/>
    </row>
    <row r="26" spans="14:23" ht="19" x14ac:dyDescent="0.25">
      <c r="O26" s="252" t="s">
        <v>86</v>
      </c>
      <c r="P26" s="252"/>
      <c r="Q26" s="179">
        <f>COUNTIFS(Recommendations!H3:H249,"=completed",Recommendations!H3:H249,"?*")</f>
        <v>13</v>
      </c>
      <c r="R26" s="180">
        <f>Q26/Q24</f>
        <v>0.65</v>
      </c>
      <c r="S26" s="181"/>
    </row>
    <row r="27" spans="14:23" ht="20" thickBot="1" x14ac:dyDescent="0.3">
      <c r="O27" s="182"/>
      <c r="P27" s="182"/>
      <c r="Q27" s="182"/>
      <c r="R27" s="182"/>
      <c r="S27" s="181"/>
    </row>
    <row r="28" spans="14:23" ht="17" thickTop="1" x14ac:dyDescent="0.2">
      <c r="O28" s="2"/>
      <c r="P28" s="2"/>
      <c r="Q28" s="2"/>
      <c r="R28" s="2"/>
    </row>
  </sheetData>
  <mergeCells count="2">
    <mergeCell ref="O24:P24"/>
    <mergeCell ref="O26:P26"/>
  </mergeCells>
  <conditionalFormatting sqref="R26">
    <cfRule type="expression" dxfId="31" priority="3">
      <formula>$R$26&gt;80%</formula>
    </cfRule>
    <cfRule type="expression" dxfId="30" priority="4">
      <formula>$R$26&lt;50%</formula>
    </cfRule>
  </conditionalFormatting>
  <hyperlinks>
    <hyperlink ref="O24:P24" location="Recommendations!A1" display="Recommendations made" xr:uid="{00000000-0004-0000-01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I120"/>
  <sheetViews>
    <sheetView zoomScale="80" zoomScaleNormal="80" workbookViewId="0">
      <pane xSplit="1" ySplit="1" topLeftCell="B2" activePane="bottomRight" state="frozen"/>
      <selection activeCell="B21" sqref="B21"/>
      <selection pane="topRight" activeCell="B21" sqref="B21"/>
      <selection pane="bottomLeft" activeCell="B21" sqref="B21"/>
      <selection pane="bottomRight"/>
    </sheetView>
  </sheetViews>
  <sheetFormatPr baseColWidth="10" defaultColWidth="11" defaultRowHeight="19" x14ac:dyDescent="0.25"/>
  <cols>
    <col min="1" max="1" width="11.1640625" customWidth="1"/>
    <col min="2" max="2" width="15.33203125" style="234" customWidth="1"/>
    <col min="3" max="3" width="92.33203125" style="151" customWidth="1"/>
    <col min="4" max="4" width="17.5" style="148" customWidth="1"/>
    <col min="5" max="5" width="18.33203125" style="232" customWidth="1"/>
    <col min="6" max="6" width="29.6640625" style="153" customWidth="1"/>
    <col min="7" max="7" width="27" style="154" customWidth="1"/>
    <col min="8" max="8" width="19.83203125" style="149" customWidth="1"/>
    <col min="9" max="9" width="50.5" style="152" customWidth="1"/>
  </cols>
  <sheetData>
    <row r="1" spans="1:9" ht="57" customHeight="1" x14ac:dyDescent="0.2">
      <c r="A1" s="155" t="s">
        <v>57</v>
      </c>
      <c r="B1" s="161" t="s">
        <v>83</v>
      </c>
      <c r="C1" s="162" t="s">
        <v>77</v>
      </c>
      <c r="D1" s="161" t="s">
        <v>78</v>
      </c>
      <c r="E1" s="161" t="s">
        <v>84</v>
      </c>
      <c r="F1" s="162" t="s">
        <v>80</v>
      </c>
      <c r="G1" s="162" t="s">
        <v>102</v>
      </c>
      <c r="H1" s="162" t="s">
        <v>81</v>
      </c>
      <c r="I1" s="162" t="s">
        <v>79</v>
      </c>
    </row>
    <row r="2" spans="1:9" ht="130" customHeight="1" x14ac:dyDescent="0.2">
      <c r="A2" s="235" t="s">
        <v>101</v>
      </c>
      <c r="B2" s="231">
        <v>43590</v>
      </c>
      <c r="C2" s="236" t="s">
        <v>89</v>
      </c>
      <c r="D2" s="237">
        <v>43604</v>
      </c>
      <c r="E2" s="231">
        <f ca="1">IF($C2="","Review Date",TODAY())</f>
        <v>44092</v>
      </c>
      <c r="F2" s="238" t="s">
        <v>88</v>
      </c>
      <c r="G2" s="238" t="s">
        <v>91</v>
      </c>
      <c r="H2" s="239" t="s">
        <v>85</v>
      </c>
      <c r="I2" s="240" t="s">
        <v>90</v>
      </c>
    </row>
    <row r="3" spans="1:9" ht="120.75" customHeight="1" x14ac:dyDescent="0.2">
      <c r="A3" s="183">
        <v>1</v>
      </c>
      <c r="B3" s="242">
        <v>43658</v>
      </c>
      <c r="C3" s="185" t="s">
        <v>104</v>
      </c>
      <c r="D3" s="157">
        <v>43626</v>
      </c>
      <c r="E3" s="157">
        <f t="shared" ref="E3:E16" ca="1" si="0">IF($C3="","Review Date",TODAY())</f>
        <v>44092</v>
      </c>
      <c r="F3" s="159" t="s">
        <v>105</v>
      </c>
      <c r="G3" s="184" t="s">
        <v>106</v>
      </c>
      <c r="H3" s="183" t="s">
        <v>85</v>
      </c>
      <c r="I3" s="243" t="s">
        <v>107</v>
      </c>
    </row>
    <row r="4" spans="1:9" ht="99.75" customHeight="1" x14ac:dyDescent="0.2">
      <c r="A4" s="183">
        <v>2</v>
      </c>
      <c r="B4" s="242">
        <f t="shared" ref="B4" ca="1" si="1">IF($A4&lt;&gt;"", TODAY(), "")</f>
        <v>44092</v>
      </c>
      <c r="C4" s="244" t="s">
        <v>108</v>
      </c>
      <c r="D4" s="157">
        <v>43664</v>
      </c>
      <c r="E4" s="157">
        <f t="shared" ca="1" si="0"/>
        <v>44092</v>
      </c>
      <c r="F4" s="243" t="s">
        <v>109</v>
      </c>
      <c r="G4" s="243" t="s">
        <v>110</v>
      </c>
      <c r="H4" s="183" t="s">
        <v>85</v>
      </c>
      <c r="I4" s="160"/>
    </row>
    <row r="5" spans="1:9" ht="99.75" customHeight="1" x14ac:dyDescent="0.2">
      <c r="A5" s="183">
        <v>3</v>
      </c>
      <c r="B5" s="242" t="s">
        <v>111</v>
      </c>
      <c r="C5" s="244" t="s">
        <v>112</v>
      </c>
      <c r="D5" s="157" t="s">
        <v>113</v>
      </c>
      <c r="E5" s="157">
        <f t="shared" ca="1" si="0"/>
        <v>44092</v>
      </c>
      <c r="F5" s="243" t="s">
        <v>114</v>
      </c>
      <c r="G5" s="184" t="s">
        <v>115</v>
      </c>
      <c r="H5" s="183" t="s">
        <v>85</v>
      </c>
      <c r="I5" s="159"/>
    </row>
    <row r="6" spans="1:9" ht="99.75" customHeight="1" x14ac:dyDescent="0.2">
      <c r="A6" s="183">
        <v>4</v>
      </c>
      <c r="B6" s="242" t="s">
        <v>111</v>
      </c>
      <c r="C6" s="244" t="s">
        <v>116</v>
      </c>
      <c r="D6" s="157" t="s">
        <v>117</v>
      </c>
      <c r="E6" s="157">
        <f t="shared" ca="1" si="0"/>
        <v>44092</v>
      </c>
      <c r="F6" s="243" t="s">
        <v>109</v>
      </c>
      <c r="G6" s="184" t="s">
        <v>109</v>
      </c>
      <c r="H6" s="183" t="s">
        <v>85</v>
      </c>
      <c r="I6" s="159"/>
    </row>
    <row r="7" spans="1:9" s="71" customFormat="1" ht="99.75" customHeight="1" x14ac:dyDescent="0.2">
      <c r="A7" s="245">
        <v>5</v>
      </c>
      <c r="B7" s="246">
        <v>43798</v>
      </c>
      <c r="C7" s="247" t="s">
        <v>118</v>
      </c>
      <c r="D7" s="248">
        <v>43805</v>
      </c>
      <c r="E7" s="248">
        <f t="shared" ca="1" si="0"/>
        <v>44092</v>
      </c>
      <c r="F7" s="249" t="s">
        <v>119</v>
      </c>
      <c r="G7" s="184" t="s">
        <v>120</v>
      </c>
      <c r="H7" s="245" t="s">
        <v>85</v>
      </c>
      <c r="I7" s="250"/>
    </row>
    <row r="8" spans="1:9" ht="99.75" customHeight="1" x14ac:dyDescent="0.2">
      <c r="A8" s="183">
        <v>6</v>
      </c>
      <c r="B8" s="242">
        <v>43798</v>
      </c>
      <c r="C8" s="244" t="s">
        <v>121</v>
      </c>
      <c r="D8" s="157" t="s">
        <v>122</v>
      </c>
      <c r="E8" s="157">
        <f t="shared" ca="1" si="0"/>
        <v>44092</v>
      </c>
      <c r="F8" s="159" t="s">
        <v>123</v>
      </c>
      <c r="G8" s="184" t="s">
        <v>120</v>
      </c>
      <c r="H8" s="183" t="s">
        <v>85</v>
      </c>
      <c r="I8" s="243" t="s">
        <v>145</v>
      </c>
    </row>
    <row r="9" spans="1:9" ht="99.75" customHeight="1" x14ac:dyDescent="0.2">
      <c r="A9" s="183">
        <v>7</v>
      </c>
      <c r="B9" s="242" t="s">
        <v>124</v>
      </c>
      <c r="C9" s="244" t="s">
        <v>125</v>
      </c>
      <c r="D9" s="157" t="s">
        <v>122</v>
      </c>
      <c r="E9" s="157">
        <f t="shared" ca="1" si="0"/>
        <v>44092</v>
      </c>
      <c r="F9" s="249" t="s">
        <v>119</v>
      </c>
      <c r="G9" s="184" t="s">
        <v>120</v>
      </c>
      <c r="H9" s="183" t="s">
        <v>85</v>
      </c>
      <c r="I9" s="159"/>
    </row>
    <row r="10" spans="1:9" ht="99.75" customHeight="1" x14ac:dyDescent="0.2">
      <c r="A10" s="183">
        <v>9</v>
      </c>
      <c r="B10" s="242" t="s">
        <v>127</v>
      </c>
      <c r="C10" s="244" t="s">
        <v>128</v>
      </c>
      <c r="D10" s="157" t="s">
        <v>126</v>
      </c>
      <c r="E10" s="157">
        <f t="shared" ca="1" si="0"/>
        <v>44092</v>
      </c>
      <c r="F10" s="243" t="s">
        <v>129</v>
      </c>
      <c r="G10" s="184" t="s">
        <v>130</v>
      </c>
      <c r="H10" s="183" t="s">
        <v>85</v>
      </c>
      <c r="I10" s="159"/>
    </row>
    <row r="11" spans="1:9" ht="99.75" customHeight="1" x14ac:dyDescent="0.2">
      <c r="A11" s="183">
        <v>10</v>
      </c>
      <c r="B11" s="242" t="s">
        <v>127</v>
      </c>
      <c r="C11" s="244" t="s">
        <v>131</v>
      </c>
      <c r="D11" s="157" t="s">
        <v>126</v>
      </c>
      <c r="E11" s="157">
        <f t="shared" ca="1" si="0"/>
        <v>44092</v>
      </c>
      <c r="F11" s="243" t="s">
        <v>129</v>
      </c>
      <c r="G11" s="243" t="s">
        <v>132</v>
      </c>
      <c r="H11" s="183" t="s">
        <v>85</v>
      </c>
      <c r="I11" s="159"/>
    </row>
    <row r="12" spans="1:9" ht="99.75" customHeight="1" x14ac:dyDescent="0.2">
      <c r="A12" s="183">
        <v>11</v>
      </c>
      <c r="B12" s="242" t="s">
        <v>133</v>
      </c>
      <c r="C12" s="244" t="s">
        <v>134</v>
      </c>
      <c r="D12" s="157" t="s">
        <v>135</v>
      </c>
      <c r="E12" s="157">
        <f t="shared" ca="1" si="0"/>
        <v>44092</v>
      </c>
      <c r="F12" s="243" t="s">
        <v>136</v>
      </c>
      <c r="G12" s="184" t="s">
        <v>129</v>
      </c>
      <c r="H12" s="183" t="s">
        <v>144</v>
      </c>
      <c r="I12" s="159"/>
    </row>
    <row r="13" spans="1:9" ht="99.75" customHeight="1" x14ac:dyDescent="0.2">
      <c r="A13" s="183">
        <v>12</v>
      </c>
      <c r="B13" s="242" t="s">
        <v>133</v>
      </c>
      <c r="C13" s="244" t="s">
        <v>137</v>
      </c>
      <c r="D13" s="157" t="s">
        <v>138</v>
      </c>
      <c r="E13" s="157">
        <f t="shared" ca="1" si="0"/>
        <v>44092</v>
      </c>
      <c r="F13" s="243" t="s">
        <v>139</v>
      </c>
      <c r="G13" s="184" t="s">
        <v>140</v>
      </c>
      <c r="H13" s="183" t="s">
        <v>144</v>
      </c>
      <c r="I13" s="159"/>
    </row>
    <row r="14" spans="1:9" ht="99.75" customHeight="1" x14ac:dyDescent="0.2">
      <c r="A14" s="183">
        <v>13</v>
      </c>
      <c r="B14" s="242" t="s">
        <v>133</v>
      </c>
      <c r="C14" s="244" t="s">
        <v>141</v>
      </c>
      <c r="D14" s="157"/>
      <c r="E14" s="157">
        <f t="shared" ca="1" si="0"/>
        <v>44092</v>
      </c>
      <c r="F14" s="159"/>
      <c r="G14" s="184"/>
      <c r="H14" s="183" t="s">
        <v>85</v>
      </c>
      <c r="I14" s="159"/>
    </row>
    <row r="15" spans="1:9" ht="99.75" customHeight="1" x14ac:dyDescent="0.2">
      <c r="A15" s="183">
        <v>14</v>
      </c>
      <c r="B15" s="242" t="s">
        <v>124</v>
      </c>
      <c r="C15" s="244" t="s">
        <v>146</v>
      </c>
      <c r="D15" s="157" t="s">
        <v>127</v>
      </c>
      <c r="E15" s="157">
        <f t="shared" ca="1" si="0"/>
        <v>44092</v>
      </c>
      <c r="F15" s="243" t="s">
        <v>129</v>
      </c>
      <c r="G15" s="184" t="s">
        <v>140</v>
      </c>
      <c r="H15" s="183" t="s">
        <v>85</v>
      </c>
      <c r="I15" s="243" t="s">
        <v>148</v>
      </c>
    </row>
    <row r="16" spans="1:9" ht="99.75" customHeight="1" x14ac:dyDescent="0.2">
      <c r="A16" s="183">
        <v>15</v>
      </c>
      <c r="B16" s="242" t="s">
        <v>124</v>
      </c>
      <c r="C16" s="244" t="s">
        <v>142</v>
      </c>
      <c r="D16" s="157" t="s">
        <v>143</v>
      </c>
      <c r="E16" s="157">
        <f t="shared" ca="1" si="0"/>
        <v>44092</v>
      </c>
      <c r="F16" s="243" t="s">
        <v>129</v>
      </c>
      <c r="G16" s="184" t="s">
        <v>140</v>
      </c>
      <c r="H16" s="183" t="s">
        <v>85</v>
      </c>
      <c r="I16" s="243" t="s">
        <v>147</v>
      </c>
    </row>
    <row r="17" spans="1:9" ht="99.75" customHeight="1" x14ac:dyDescent="0.2">
      <c r="A17" s="183">
        <v>16</v>
      </c>
      <c r="B17" s="233">
        <v>43950</v>
      </c>
      <c r="C17" s="244" t="s">
        <v>161</v>
      </c>
      <c r="D17" s="157" t="s">
        <v>153</v>
      </c>
      <c r="E17" s="231">
        <f t="shared" ref="E17:E65" ca="1" si="2">IF($C17="","Review Date",TODAY())</f>
        <v>44092</v>
      </c>
      <c r="F17" s="243" t="s">
        <v>149</v>
      </c>
      <c r="G17" s="184" t="s">
        <v>152</v>
      </c>
      <c r="H17" s="158" t="s">
        <v>85</v>
      </c>
      <c r="I17" s="159" t="s">
        <v>155</v>
      </c>
    </row>
    <row r="18" spans="1:9" ht="99.75" customHeight="1" x14ac:dyDescent="0.2">
      <c r="A18" s="183">
        <v>17</v>
      </c>
      <c r="B18" s="233">
        <v>43950</v>
      </c>
      <c r="C18" s="244" t="s">
        <v>154</v>
      </c>
      <c r="D18" s="157">
        <v>43993</v>
      </c>
      <c r="E18" s="231">
        <f t="shared" ca="1" si="2"/>
        <v>44092</v>
      </c>
      <c r="F18" s="243" t="s">
        <v>150</v>
      </c>
      <c r="G18" s="184" t="s">
        <v>151</v>
      </c>
      <c r="H18" s="158"/>
      <c r="I18" s="159"/>
    </row>
    <row r="19" spans="1:9" ht="99.75" customHeight="1" x14ac:dyDescent="0.2">
      <c r="A19" s="183">
        <v>18</v>
      </c>
      <c r="B19" s="233">
        <v>43958</v>
      </c>
      <c r="C19" s="244" t="s">
        <v>156</v>
      </c>
      <c r="D19" s="157">
        <v>44019</v>
      </c>
      <c r="E19" s="231">
        <f t="shared" ca="1" si="2"/>
        <v>44092</v>
      </c>
      <c r="F19" s="159" t="s">
        <v>150</v>
      </c>
      <c r="G19" s="184" t="s">
        <v>157</v>
      </c>
      <c r="H19" s="158"/>
      <c r="I19" s="159"/>
    </row>
    <row r="20" spans="1:9" ht="99.75" customHeight="1" x14ac:dyDescent="0.2">
      <c r="A20" s="183">
        <v>19</v>
      </c>
      <c r="B20" s="233" t="s">
        <v>159</v>
      </c>
      <c r="C20" s="156" t="s">
        <v>158</v>
      </c>
      <c r="D20" s="157">
        <v>43993</v>
      </c>
      <c r="E20" s="231">
        <f t="shared" ca="1" si="2"/>
        <v>44092</v>
      </c>
      <c r="F20" s="159" t="s">
        <v>157</v>
      </c>
      <c r="G20" s="184" t="s">
        <v>140</v>
      </c>
      <c r="H20" s="158"/>
      <c r="I20" s="159"/>
    </row>
    <row r="21" spans="1:9" ht="99.75" customHeight="1" x14ac:dyDescent="0.2">
      <c r="A21" s="183">
        <v>20</v>
      </c>
      <c r="B21" s="233">
        <v>43958</v>
      </c>
      <c r="C21" s="156" t="s">
        <v>160</v>
      </c>
      <c r="D21" s="157">
        <v>43993</v>
      </c>
      <c r="E21" s="231">
        <f t="shared" ca="1" si="2"/>
        <v>44092</v>
      </c>
      <c r="F21" s="243" t="s">
        <v>157</v>
      </c>
      <c r="G21" s="184" t="s">
        <v>140</v>
      </c>
      <c r="H21" s="158"/>
      <c r="I21" s="159"/>
    </row>
    <row r="22" spans="1:9" ht="99.75" customHeight="1" x14ac:dyDescent="0.2">
      <c r="A22" s="183">
        <v>21</v>
      </c>
      <c r="B22" s="233">
        <f t="shared" ref="B22:B65" ca="1" si="3">IF($A22&lt;&gt;"", TODAY(), "")</f>
        <v>44092</v>
      </c>
      <c r="C22" s="244" t="s">
        <v>164</v>
      </c>
      <c r="D22" s="157" t="s">
        <v>162</v>
      </c>
      <c r="E22" s="231">
        <f t="shared" ca="1" si="2"/>
        <v>44092</v>
      </c>
      <c r="F22" s="243" t="s">
        <v>163</v>
      </c>
      <c r="G22" s="184" t="s">
        <v>157</v>
      </c>
      <c r="H22" s="158"/>
      <c r="I22" s="159"/>
    </row>
    <row r="23" spans="1:9" ht="99.75" customHeight="1" x14ac:dyDescent="0.2">
      <c r="A23" s="183"/>
      <c r="B23" s="233"/>
      <c r="C23" s="156"/>
      <c r="D23" s="157"/>
      <c r="E23" s="231"/>
      <c r="F23" s="159"/>
      <c r="G23" s="184"/>
      <c r="H23" s="158"/>
      <c r="I23" s="159"/>
    </row>
    <row r="24" spans="1:9" ht="99.75" customHeight="1" x14ac:dyDescent="0.2">
      <c r="A24" s="183"/>
      <c r="B24" s="233" t="str">
        <f t="shared" ca="1" si="3"/>
        <v/>
      </c>
      <c r="C24" s="156"/>
      <c r="D24" s="157"/>
      <c r="E24" s="231" t="str">
        <f t="shared" ca="1" si="2"/>
        <v>Review Date</v>
      </c>
      <c r="F24" s="159"/>
      <c r="G24" s="184"/>
      <c r="H24" s="158"/>
      <c r="I24" s="159"/>
    </row>
    <row r="25" spans="1:9" ht="99.75" customHeight="1" x14ac:dyDescent="0.2">
      <c r="A25" s="183"/>
      <c r="B25" s="233" t="str">
        <f t="shared" ca="1" si="3"/>
        <v/>
      </c>
      <c r="C25" s="156"/>
      <c r="D25" s="157"/>
      <c r="E25" s="231" t="str">
        <f t="shared" ca="1" si="2"/>
        <v>Review Date</v>
      </c>
      <c r="F25" s="159"/>
      <c r="G25" s="184"/>
      <c r="H25" s="158"/>
      <c r="I25" s="159"/>
    </row>
    <row r="26" spans="1:9" ht="99.75" customHeight="1" x14ac:dyDescent="0.2">
      <c r="A26" s="183"/>
      <c r="B26" s="233" t="str">
        <f t="shared" ca="1" si="3"/>
        <v/>
      </c>
      <c r="C26" s="156"/>
      <c r="D26" s="157"/>
      <c r="E26" s="231" t="str">
        <f t="shared" ca="1" si="2"/>
        <v>Review Date</v>
      </c>
      <c r="F26" s="159"/>
      <c r="G26" s="184"/>
      <c r="H26" s="158"/>
      <c r="I26" s="159"/>
    </row>
    <row r="27" spans="1:9" ht="99.75" customHeight="1" x14ac:dyDescent="0.2">
      <c r="A27" s="183"/>
      <c r="B27" s="233" t="str">
        <f t="shared" ca="1" si="3"/>
        <v/>
      </c>
      <c r="C27" s="156"/>
      <c r="D27" s="157"/>
      <c r="E27" s="231" t="str">
        <f t="shared" ca="1" si="2"/>
        <v>Review Date</v>
      </c>
      <c r="F27" s="159"/>
      <c r="G27" s="184"/>
      <c r="H27" s="158"/>
      <c r="I27" s="159"/>
    </row>
    <row r="28" spans="1:9" ht="99.75" customHeight="1" x14ac:dyDescent="0.2">
      <c r="A28" s="183"/>
      <c r="B28" s="233" t="str">
        <f t="shared" ca="1" si="3"/>
        <v/>
      </c>
      <c r="C28" s="156"/>
      <c r="D28" s="157"/>
      <c r="E28" s="231" t="str">
        <f t="shared" ca="1" si="2"/>
        <v>Review Date</v>
      </c>
      <c r="F28" s="159"/>
      <c r="G28" s="184"/>
      <c r="H28" s="158"/>
      <c r="I28" s="159"/>
    </row>
    <row r="29" spans="1:9" ht="99.75" customHeight="1" x14ac:dyDescent="0.2">
      <c r="A29" s="183"/>
      <c r="B29" s="233" t="str">
        <f t="shared" ca="1" si="3"/>
        <v/>
      </c>
      <c r="C29" s="156"/>
      <c r="D29" s="157"/>
      <c r="E29" s="231" t="str">
        <f t="shared" ca="1" si="2"/>
        <v>Review Date</v>
      </c>
      <c r="F29" s="159"/>
      <c r="G29" s="184"/>
      <c r="H29" s="158"/>
      <c r="I29" s="159"/>
    </row>
    <row r="30" spans="1:9" ht="99.75" customHeight="1" x14ac:dyDescent="0.2">
      <c r="A30" s="183"/>
      <c r="B30" s="233" t="str">
        <f t="shared" ca="1" si="3"/>
        <v/>
      </c>
      <c r="C30" s="156"/>
      <c r="D30" s="157"/>
      <c r="E30" s="231" t="str">
        <f t="shared" ca="1" si="2"/>
        <v>Review Date</v>
      </c>
      <c r="F30" s="159"/>
      <c r="G30" s="184"/>
      <c r="H30" s="158"/>
      <c r="I30" s="159"/>
    </row>
    <row r="31" spans="1:9" ht="99.75" customHeight="1" x14ac:dyDescent="0.2">
      <c r="A31" s="183"/>
      <c r="B31" s="233" t="str">
        <f t="shared" ca="1" si="3"/>
        <v/>
      </c>
      <c r="C31" s="156"/>
      <c r="D31" s="157"/>
      <c r="E31" s="231" t="str">
        <f t="shared" ca="1" si="2"/>
        <v>Review Date</v>
      </c>
      <c r="F31" s="159"/>
      <c r="G31" s="184"/>
      <c r="H31" s="158"/>
      <c r="I31" s="159"/>
    </row>
    <row r="32" spans="1:9" ht="99.75" customHeight="1" x14ac:dyDescent="0.2">
      <c r="A32" s="183"/>
      <c r="B32" s="233" t="str">
        <f t="shared" ca="1" si="3"/>
        <v/>
      </c>
      <c r="C32" s="156"/>
      <c r="D32" s="157"/>
      <c r="E32" s="231" t="str">
        <f t="shared" ca="1" si="2"/>
        <v>Review Date</v>
      </c>
      <c r="F32" s="159"/>
      <c r="G32" s="184"/>
      <c r="H32" s="158"/>
      <c r="I32" s="159"/>
    </row>
    <row r="33" spans="1:9" ht="99.75" customHeight="1" x14ac:dyDescent="0.2">
      <c r="A33" s="183"/>
      <c r="B33" s="233" t="str">
        <f t="shared" ca="1" si="3"/>
        <v/>
      </c>
      <c r="C33" s="156"/>
      <c r="D33" s="157"/>
      <c r="E33" s="231" t="str">
        <f t="shared" ca="1" si="2"/>
        <v>Review Date</v>
      </c>
      <c r="F33" s="159"/>
      <c r="G33" s="184"/>
      <c r="H33" s="158"/>
      <c r="I33" s="159"/>
    </row>
    <row r="34" spans="1:9" ht="99.75" customHeight="1" x14ac:dyDescent="0.2">
      <c r="A34" s="183"/>
      <c r="B34" s="233" t="str">
        <f t="shared" ca="1" si="3"/>
        <v/>
      </c>
      <c r="C34" s="156"/>
      <c r="D34" s="157"/>
      <c r="E34" s="231" t="str">
        <f t="shared" ca="1" si="2"/>
        <v>Review Date</v>
      </c>
      <c r="F34" s="159"/>
      <c r="G34" s="184"/>
      <c r="H34" s="158"/>
      <c r="I34" s="159"/>
    </row>
    <row r="35" spans="1:9" ht="99.75" customHeight="1" x14ac:dyDescent="0.2">
      <c r="A35" s="183"/>
      <c r="B35" s="233" t="str">
        <f t="shared" ca="1" si="3"/>
        <v/>
      </c>
      <c r="C35" s="156"/>
      <c r="D35" s="157"/>
      <c r="E35" s="231" t="str">
        <f t="shared" ca="1" si="2"/>
        <v>Review Date</v>
      </c>
      <c r="F35" s="159"/>
      <c r="G35" s="184"/>
      <c r="H35" s="158"/>
      <c r="I35" s="159"/>
    </row>
    <row r="36" spans="1:9" ht="99.75" customHeight="1" x14ac:dyDescent="0.2">
      <c r="A36" s="183"/>
      <c r="B36" s="233" t="str">
        <f t="shared" ca="1" si="3"/>
        <v/>
      </c>
      <c r="C36" s="156"/>
      <c r="D36" s="157"/>
      <c r="E36" s="231" t="str">
        <f t="shared" ca="1" si="2"/>
        <v>Review Date</v>
      </c>
      <c r="F36" s="159"/>
      <c r="G36" s="184"/>
      <c r="H36" s="158"/>
      <c r="I36" s="159"/>
    </row>
    <row r="37" spans="1:9" ht="99.75" customHeight="1" x14ac:dyDescent="0.2">
      <c r="A37" s="183"/>
      <c r="B37" s="233" t="str">
        <f t="shared" ca="1" si="3"/>
        <v/>
      </c>
      <c r="C37" s="156"/>
      <c r="D37" s="157"/>
      <c r="E37" s="231" t="str">
        <f t="shared" ca="1" si="2"/>
        <v>Review Date</v>
      </c>
      <c r="F37" s="159"/>
      <c r="G37" s="184"/>
      <c r="H37" s="158"/>
      <c r="I37" s="159"/>
    </row>
    <row r="38" spans="1:9" ht="99.75" customHeight="1" x14ac:dyDescent="0.2">
      <c r="A38" s="183"/>
      <c r="B38" s="233" t="str">
        <f t="shared" ca="1" si="3"/>
        <v/>
      </c>
      <c r="C38" s="156"/>
      <c r="D38" s="157"/>
      <c r="E38" s="231" t="str">
        <f t="shared" ca="1" si="2"/>
        <v>Review Date</v>
      </c>
      <c r="F38" s="159"/>
      <c r="G38" s="184"/>
      <c r="H38" s="158"/>
      <c r="I38" s="159"/>
    </row>
    <row r="39" spans="1:9" ht="99.75" customHeight="1" x14ac:dyDescent="0.2">
      <c r="A39" s="183"/>
      <c r="B39" s="233" t="str">
        <f t="shared" ca="1" si="3"/>
        <v/>
      </c>
      <c r="C39" s="156"/>
      <c r="D39" s="157"/>
      <c r="E39" s="231" t="str">
        <f t="shared" ca="1" si="2"/>
        <v>Review Date</v>
      </c>
      <c r="F39" s="159"/>
      <c r="G39" s="184"/>
      <c r="H39" s="158"/>
      <c r="I39" s="159"/>
    </row>
    <row r="40" spans="1:9" ht="99.75" customHeight="1" x14ac:dyDescent="0.2">
      <c r="A40" s="183"/>
      <c r="B40" s="233" t="str">
        <f t="shared" ca="1" si="3"/>
        <v/>
      </c>
      <c r="C40" s="156"/>
      <c r="D40" s="157"/>
      <c r="E40" s="231" t="str">
        <f t="shared" ca="1" si="2"/>
        <v>Review Date</v>
      </c>
      <c r="F40" s="159"/>
      <c r="G40" s="184"/>
      <c r="H40" s="158"/>
      <c r="I40" s="159"/>
    </row>
    <row r="41" spans="1:9" ht="99.75" customHeight="1" x14ac:dyDescent="0.2">
      <c r="A41" s="183"/>
      <c r="B41" s="233" t="str">
        <f t="shared" ca="1" si="3"/>
        <v/>
      </c>
      <c r="C41" s="156"/>
      <c r="D41" s="157"/>
      <c r="E41" s="231" t="str">
        <f t="shared" ca="1" si="2"/>
        <v>Review Date</v>
      </c>
      <c r="F41" s="159"/>
      <c r="G41" s="184"/>
      <c r="H41" s="158"/>
      <c r="I41" s="159"/>
    </row>
    <row r="42" spans="1:9" ht="99.75" customHeight="1" x14ac:dyDescent="0.2">
      <c r="A42" s="183"/>
      <c r="B42" s="233" t="str">
        <f t="shared" ca="1" si="3"/>
        <v/>
      </c>
      <c r="C42" s="156"/>
      <c r="D42" s="157"/>
      <c r="E42" s="231" t="str">
        <f t="shared" ca="1" si="2"/>
        <v>Review Date</v>
      </c>
      <c r="F42" s="159"/>
      <c r="G42" s="184"/>
      <c r="H42" s="158"/>
      <c r="I42" s="159"/>
    </row>
    <row r="43" spans="1:9" ht="99.75" customHeight="1" x14ac:dyDescent="0.2">
      <c r="A43" s="183"/>
      <c r="B43" s="233" t="str">
        <f t="shared" ca="1" si="3"/>
        <v/>
      </c>
      <c r="C43" s="156"/>
      <c r="D43" s="157"/>
      <c r="E43" s="231" t="str">
        <f t="shared" ca="1" si="2"/>
        <v>Review Date</v>
      </c>
      <c r="F43" s="159"/>
      <c r="G43" s="184"/>
      <c r="H43" s="158"/>
      <c r="I43" s="159"/>
    </row>
    <row r="44" spans="1:9" ht="99.75" customHeight="1" x14ac:dyDescent="0.2">
      <c r="A44" s="183"/>
      <c r="B44" s="233" t="str">
        <f t="shared" ca="1" si="3"/>
        <v/>
      </c>
      <c r="C44" s="156"/>
      <c r="D44" s="157"/>
      <c r="E44" s="231" t="str">
        <f t="shared" ca="1" si="2"/>
        <v>Review Date</v>
      </c>
      <c r="F44" s="159"/>
      <c r="G44" s="184"/>
      <c r="H44" s="158"/>
      <c r="I44" s="159"/>
    </row>
    <row r="45" spans="1:9" ht="99.75" customHeight="1" x14ac:dyDescent="0.2">
      <c r="A45" s="183"/>
      <c r="B45" s="233" t="str">
        <f t="shared" ca="1" si="3"/>
        <v/>
      </c>
      <c r="C45" s="156"/>
      <c r="D45" s="157"/>
      <c r="E45" s="231" t="str">
        <f t="shared" ca="1" si="2"/>
        <v>Review Date</v>
      </c>
      <c r="F45" s="159"/>
      <c r="G45" s="184"/>
      <c r="H45" s="158"/>
      <c r="I45" s="159"/>
    </row>
    <row r="46" spans="1:9" ht="99.75" customHeight="1" x14ac:dyDescent="0.2">
      <c r="A46" s="183"/>
      <c r="B46" s="233" t="str">
        <f t="shared" ca="1" si="3"/>
        <v/>
      </c>
      <c r="C46" s="156"/>
      <c r="D46" s="157"/>
      <c r="E46" s="231" t="str">
        <f t="shared" ca="1" si="2"/>
        <v>Review Date</v>
      </c>
      <c r="F46" s="159"/>
      <c r="G46" s="184"/>
      <c r="H46" s="158"/>
      <c r="I46" s="159"/>
    </row>
    <row r="47" spans="1:9" ht="99.75" customHeight="1" x14ac:dyDescent="0.2">
      <c r="A47" s="183"/>
      <c r="B47" s="233" t="str">
        <f t="shared" ca="1" si="3"/>
        <v/>
      </c>
      <c r="C47" s="156"/>
      <c r="D47" s="157"/>
      <c r="E47" s="231" t="str">
        <f t="shared" ca="1" si="2"/>
        <v>Review Date</v>
      </c>
      <c r="F47" s="159"/>
      <c r="G47" s="184"/>
      <c r="H47" s="158"/>
      <c r="I47" s="159"/>
    </row>
    <row r="48" spans="1:9" ht="99.75" customHeight="1" x14ac:dyDescent="0.2">
      <c r="A48" s="183"/>
      <c r="B48" s="233" t="str">
        <f t="shared" ca="1" si="3"/>
        <v/>
      </c>
      <c r="C48" s="156"/>
      <c r="D48" s="157"/>
      <c r="E48" s="231" t="str">
        <f t="shared" ca="1" si="2"/>
        <v>Review Date</v>
      </c>
      <c r="F48" s="159"/>
      <c r="G48" s="184"/>
      <c r="H48" s="158"/>
      <c r="I48" s="159"/>
    </row>
    <row r="49" spans="1:9" ht="99.75" customHeight="1" x14ac:dyDescent="0.2">
      <c r="A49" s="183"/>
      <c r="B49" s="233" t="str">
        <f t="shared" ca="1" si="3"/>
        <v/>
      </c>
      <c r="C49" s="156"/>
      <c r="D49" s="157"/>
      <c r="E49" s="231" t="str">
        <f t="shared" ca="1" si="2"/>
        <v>Review Date</v>
      </c>
      <c r="F49" s="159"/>
      <c r="G49" s="184"/>
      <c r="H49" s="158"/>
      <c r="I49" s="159"/>
    </row>
    <row r="50" spans="1:9" ht="99.75" customHeight="1" x14ac:dyDescent="0.2">
      <c r="A50" s="183"/>
      <c r="B50" s="233" t="str">
        <f t="shared" ca="1" si="3"/>
        <v/>
      </c>
      <c r="C50" s="156"/>
      <c r="D50" s="157"/>
      <c r="E50" s="231" t="str">
        <f t="shared" ca="1" si="2"/>
        <v>Review Date</v>
      </c>
      <c r="F50" s="159"/>
      <c r="G50" s="184"/>
      <c r="H50" s="158"/>
      <c r="I50" s="159"/>
    </row>
    <row r="51" spans="1:9" ht="99.75" customHeight="1" x14ac:dyDescent="0.2">
      <c r="A51" s="183"/>
      <c r="B51" s="233" t="str">
        <f t="shared" ca="1" si="3"/>
        <v/>
      </c>
      <c r="C51" s="156"/>
      <c r="D51" s="157"/>
      <c r="E51" s="231" t="str">
        <f t="shared" ca="1" si="2"/>
        <v>Review Date</v>
      </c>
      <c r="F51" s="159"/>
      <c r="G51" s="184"/>
      <c r="H51" s="158"/>
      <c r="I51" s="159"/>
    </row>
    <row r="52" spans="1:9" ht="99.75" customHeight="1" x14ac:dyDescent="0.2">
      <c r="A52" s="183"/>
      <c r="B52" s="233" t="str">
        <f t="shared" ca="1" si="3"/>
        <v/>
      </c>
      <c r="C52" s="156"/>
      <c r="D52" s="157"/>
      <c r="E52" s="231" t="str">
        <f t="shared" ca="1" si="2"/>
        <v>Review Date</v>
      </c>
      <c r="F52" s="159"/>
      <c r="G52" s="184"/>
      <c r="H52" s="158"/>
      <c r="I52" s="159"/>
    </row>
    <row r="53" spans="1:9" ht="99.75" customHeight="1" x14ac:dyDescent="0.2">
      <c r="A53" s="183"/>
      <c r="B53" s="233" t="str">
        <f t="shared" ca="1" si="3"/>
        <v/>
      </c>
      <c r="C53" s="156"/>
      <c r="D53" s="157"/>
      <c r="E53" s="231" t="str">
        <f t="shared" ca="1" si="2"/>
        <v>Review Date</v>
      </c>
      <c r="F53" s="159"/>
      <c r="G53" s="184"/>
      <c r="H53" s="158"/>
      <c r="I53" s="159"/>
    </row>
    <row r="54" spans="1:9" ht="99.75" customHeight="1" x14ac:dyDescent="0.2">
      <c r="A54" s="183"/>
      <c r="B54" s="233" t="str">
        <f t="shared" ca="1" si="3"/>
        <v/>
      </c>
      <c r="C54" s="156"/>
      <c r="D54" s="157"/>
      <c r="E54" s="231" t="str">
        <f t="shared" ca="1" si="2"/>
        <v>Review Date</v>
      </c>
      <c r="F54" s="159"/>
      <c r="G54" s="184"/>
      <c r="H54" s="158"/>
      <c r="I54" s="159"/>
    </row>
    <row r="55" spans="1:9" ht="99.75" customHeight="1" x14ac:dyDescent="0.2">
      <c r="A55" s="183"/>
      <c r="B55" s="233" t="str">
        <f t="shared" ca="1" si="3"/>
        <v/>
      </c>
      <c r="C55" s="156"/>
      <c r="D55" s="157"/>
      <c r="E55" s="231" t="str">
        <f t="shared" ca="1" si="2"/>
        <v>Review Date</v>
      </c>
      <c r="F55" s="159"/>
      <c r="G55" s="184"/>
      <c r="H55" s="158"/>
      <c r="I55" s="159"/>
    </row>
    <row r="56" spans="1:9" ht="99.75" customHeight="1" x14ac:dyDescent="0.2">
      <c r="A56" s="183"/>
      <c r="B56" s="233" t="str">
        <f t="shared" ca="1" si="3"/>
        <v/>
      </c>
      <c r="C56" s="156"/>
      <c r="D56" s="157"/>
      <c r="E56" s="231" t="str">
        <f t="shared" ca="1" si="2"/>
        <v>Review Date</v>
      </c>
      <c r="F56" s="159"/>
      <c r="G56" s="184"/>
      <c r="H56" s="158"/>
      <c r="I56" s="159"/>
    </row>
    <row r="57" spans="1:9" ht="99.75" customHeight="1" x14ac:dyDescent="0.2">
      <c r="A57" s="183"/>
      <c r="B57" s="233" t="str">
        <f t="shared" ca="1" si="3"/>
        <v/>
      </c>
      <c r="C57" s="156"/>
      <c r="D57" s="157"/>
      <c r="E57" s="231" t="str">
        <f t="shared" ca="1" si="2"/>
        <v>Review Date</v>
      </c>
      <c r="F57" s="159"/>
      <c r="G57" s="184"/>
      <c r="H57" s="158"/>
      <c r="I57" s="159"/>
    </row>
    <row r="58" spans="1:9" ht="99.75" customHeight="1" x14ac:dyDescent="0.2">
      <c r="A58" s="183"/>
      <c r="B58" s="233" t="str">
        <f t="shared" ca="1" si="3"/>
        <v/>
      </c>
      <c r="C58" s="156"/>
      <c r="D58" s="157"/>
      <c r="E58" s="231" t="str">
        <f t="shared" ca="1" si="2"/>
        <v>Review Date</v>
      </c>
      <c r="F58" s="159"/>
      <c r="G58" s="184"/>
      <c r="H58" s="158"/>
      <c r="I58" s="159"/>
    </row>
    <row r="59" spans="1:9" ht="99.75" customHeight="1" x14ac:dyDescent="0.2">
      <c r="A59" s="183"/>
      <c r="B59" s="233" t="str">
        <f t="shared" ca="1" si="3"/>
        <v/>
      </c>
      <c r="C59" s="156"/>
      <c r="D59" s="157"/>
      <c r="E59" s="231" t="str">
        <f t="shared" ca="1" si="2"/>
        <v>Review Date</v>
      </c>
      <c r="F59" s="159"/>
      <c r="G59" s="184"/>
      <c r="H59" s="158"/>
      <c r="I59" s="159"/>
    </row>
    <row r="60" spans="1:9" ht="99.75" customHeight="1" x14ac:dyDescent="0.2">
      <c r="A60" s="183"/>
      <c r="B60" s="233" t="str">
        <f t="shared" ca="1" si="3"/>
        <v/>
      </c>
      <c r="C60" s="156"/>
      <c r="D60" s="157"/>
      <c r="E60" s="231" t="str">
        <f t="shared" ca="1" si="2"/>
        <v>Review Date</v>
      </c>
      <c r="F60" s="159"/>
      <c r="G60" s="184"/>
      <c r="H60" s="158"/>
      <c r="I60" s="159"/>
    </row>
    <row r="61" spans="1:9" ht="99.75" customHeight="1" x14ac:dyDescent="0.2">
      <c r="A61" s="183"/>
      <c r="B61" s="233" t="str">
        <f t="shared" ca="1" si="3"/>
        <v/>
      </c>
      <c r="C61" s="156"/>
      <c r="D61" s="157"/>
      <c r="E61" s="231" t="str">
        <f t="shared" ca="1" si="2"/>
        <v>Review Date</v>
      </c>
      <c r="F61" s="159"/>
      <c r="G61" s="184"/>
      <c r="H61" s="158"/>
      <c r="I61" s="159"/>
    </row>
    <row r="62" spans="1:9" ht="99.75" customHeight="1" x14ac:dyDescent="0.2">
      <c r="A62" s="183"/>
      <c r="B62" s="233" t="str">
        <f t="shared" ca="1" si="3"/>
        <v/>
      </c>
      <c r="C62" s="156"/>
      <c r="D62" s="157"/>
      <c r="E62" s="231" t="str">
        <f t="shared" ca="1" si="2"/>
        <v>Review Date</v>
      </c>
      <c r="F62" s="159"/>
      <c r="G62" s="184"/>
      <c r="H62" s="158"/>
      <c r="I62" s="159"/>
    </row>
    <row r="63" spans="1:9" ht="99.75" customHeight="1" x14ac:dyDescent="0.2">
      <c r="A63" s="183"/>
      <c r="B63" s="233" t="str">
        <f t="shared" ca="1" si="3"/>
        <v/>
      </c>
      <c r="C63" s="156"/>
      <c r="D63" s="157"/>
      <c r="E63" s="231" t="str">
        <f t="shared" ca="1" si="2"/>
        <v>Review Date</v>
      </c>
      <c r="F63" s="159"/>
      <c r="G63" s="184"/>
      <c r="H63" s="158"/>
      <c r="I63" s="159"/>
    </row>
    <row r="64" spans="1:9" ht="99.75" customHeight="1" x14ac:dyDescent="0.2">
      <c r="A64" s="183"/>
      <c r="B64" s="233" t="str">
        <f t="shared" ca="1" si="3"/>
        <v/>
      </c>
      <c r="C64" s="156"/>
      <c r="D64" s="157"/>
      <c r="E64" s="231" t="str">
        <f t="shared" ca="1" si="2"/>
        <v>Review Date</v>
      </c>
      <c r="F64" s="159"/>
      <c r="G64" s="184"/>
      <c r="H64" s="158"/>
      <c r="I64" s="159"/>
    </row>
    <row r="65" spans="1:9" ht="99.75" customHeight="1" x14ac:dyDescent="0.2">
      <c r="A65" s="183"/>
      <c r="B65" s="233" t="str">
        <f t="shared" ca="1" si="3"/>
        <v/>
      </c>
      <c r="C65" s="156"/>
      <c r="D65" s="157"/>
      <c r="E65" s="231" t="str">
        <f t="shared" ca="1" si="2"/>
        <v>Review Date</v>
      </c>
      <c r="F65" s="159"/>
      <c r="G65" s="184"/>
      <c r="H65" s="158"/>
      <c r="I65" s="159"/>
    </row>
    <row r="66" spans="1:9" ht="99.75" customHeight="1" x14ac:dyDescent="0.2">
      <c r="A66" s="183"/>
      <c r="B66" s="233" t="str">
        <f t="shared" ref="B66:B120" ca="1" si="4">IF($A66&lt;&gt;"", TODAY(), "")</f>
        <v/>
      </c>
      <c r="C66" s="156"/>
      <c r="D66" s="157"/>
      <c r="E66" s="231" t="str">
        <f t="shared" ref="E66:E120" ca="1" si="5">IF($C66="","Review Date",TODAY())</f>
        <v>Review Date</v>
      </c>
      <c r="F66" s="159"/>
      <c r="G66" s="184"/>
      <c r="H66" s="158"/>
      <c r="I66" s="159"/>
    </row>
    <row r="67" spans="1:9" ht="99.75" customHeight="1" x14ac:dyDescent="0.2">
      <c r="A67" s="183"/>
      <c r="B67" s="233" t="str">
        <f t="shared" ca="1" si="4"/>
        <v/>
      </c>
      <c r="C67" s="156"/>
      <c r="D67" s="157"/>
      <c r="E67" s="231" t="str">
        <f t="shared" ca="1" si="5"/>
        <v>Review Date</v>
      </c>
      <c r="F67" s="159"/>
      <c r="G67" s="184"/>
      <c r="H67" s="158"/>
      <c r="I67" s="159"/>
    </row>
    <row r="68" spans="1:9" ht="99.75" customHeight="1" x14ac:dyDescent="0.2">
      <c r="A68" s="183"/>
      <c r="B68" s="233" t="str">
        <f t="shared" ca="1" si="4"/>
        <v/>
      </c>
      <c r="C68" s="156"/>
      <c r="D68" s="157"/>
      <c r="E68" s="231" t="str">
        <f t="shared" ca="1" si="5"/>
        <v>Review Date</v>
      </c>
      <c r="F68" s="159"/>
      <c r="G68" s="184"/>
      <c r="H68" s="158"/>
      <c r="I68" s="159"/>
    </row>
    <row r="69" spans="1:9" ht="99.75" customHeight="1" x14ac:dyDescent="0.2">
      <c r="A69" s="183"/>
      <c r="B69" s="233" t="str">
        <f t="shared" ca="1" si="4"/>
        <v/>
      </c>
      <c r="C69" s="156"/>
      <c r="D69" s="157"/>
      <c r="E69" s="231" t="str">
        <f t="shared" ca="1" si="5"/>
        <v>Review Date</v>
      </c>
      <c r="F69" s="159"/>
      <c r="G69" s="184"/>
      <c r="H69" s="158"/>
      <c r="I69" s="159"/>
    </row>
    <row r="70" spans="1:9" ht="99.75" customHeight="1" x14ac:dyDescent="0.2">
      <c r="A70" s="183"/>
      <c r="B70" s="233" t="str">
        <f t="shared" ca="1" si="4"/>
        <v/>
      </c>
      <c r="C70" s="156"/>
      <c r="D70" s="157"/>
      <c r="E70" s="231" t="str">
        <f t="shared" ca="1" si="5"/>
        <v>Review Date</v>
      </c>
      <c r="F70" s="159"/>
      <c r="G70" s="184"/>
      <c r="H70" s="158"/>
      <c r="I70" s="159"/>
    </row>
    <row r="71" spans="1:9" ht="99.75" customHeight="1" x14ac:dyDescent="0.2">
      <c r="A71" s="183"/>
      <c r="B71" s="233" t="str">
        <f t="shared" ca="1" si="4"/>
        <v/>
      </c>
      <c r="C71" s="156"/>
      <c r="D71" s="157"/>
      <c r="E71" s="231" t="str">
        <f t="shared" ca="1" si="5"/>
        <v>Review Date</v>
      </c>
      <c r="F71" s="159"/>
      <c r="G71" s="184"/>
      <c r="H71" s="158"/>
      <c r="I71" s="159"/>
    </row>
    <row r="72" spans="1:9" ht="99.75" customHeight="1" x14ac:dyDescent="0.2">
      <c r="A72" s="183"/>
      <c r="B72" s="233" t="str">
        <f t="shared" ca="1" si="4"/>
        <v/>
      </c>
      <c r="C72" s="156"/>
      <c r="D72" s="157"/>
      <c r="E72" s="231" t="str">
        <f t="shared" ca="1" si="5"/>
        <v>Review Date</v>
      </c>
      <c r="F72" s="159"/>
      <c r="G72" s="184"/>
      <c r="H72" s="158"/>
      <c r="I72" s="159"/>
    </row>
    <row r="73" spans="1:9" ht="99.75" customHeight="1" x14ac:dyDescent="0.2">
      <c r="A73" s="183"/>
      <c r="B73" s="233" t="str">
        <f t="shared" ca="1" si="4"/>
        <v/>
      </c>
      <c r="C73" s="156"/>
      <c r="D73" s="157"/>
      <c r="E73" s="231" t="str">
        <f t="shared" ca="1" si="5"/>
        <v>Review Date</v>
      </c>
      <c r="F73" s="159"/>
      <c r="G73" s="184"/>
      <c r="H73" s="158"/>
      <c r="I73" s="159"/>
    </row>
    <row r="74" spans="1:9" ht="99.75" customHeight="1" x14ac:dyDescent="0.2">
      <c r="A74" s="183"/>
      <c r="B74" s="233" t="str">
        <f t="shared" ca="1" si="4"/>
        <v/>
      </c>
      <c r="C74" s="156"/>
      <c r="D74" s="157"/>
      <c r="E74" s="231" t="str">
        <f t="shared" ca="1" si="5"/>
        <v>Review Date</v>
      </c>
      <c r="F74" s="159"/>
      <c r="G74" s="184"/>
      <c r="H74" s="158"/>
      <c r="I74" s="159"/>
    </row>
    <row r="75" spans="1:9" ht="99.75" customHeight="1" x14ac:dyDescent="0.2">
      <c r="A75" s="183"/>
      <c r="B75" s="233" t="str">
        <f t="shared" ca="1" si="4"/>
        <v/>
      </c>
      <c r="C75" s="156"/>
      <c r="D75" s="157"/>
      <c r="E75" s="231" t="str">
        <f t="shared" ca="1" si="5"/>
        <v>Review Date</v>
      </c>
      <c r="F75" s="159"/>
      <c r="G75" s="184"/>
      <c r="H75" s="158"/>
      <c r="I75" s="159"/>
    </row>
    <row r="76" spans="1:9" ht="99.75" customHeight="1" x14ac:dyDescent="0.2">
      <c r="A76" s="183"/>
      <c r="B76" s="233" t="str">
        <f t="shared" ca="1" si="4"/>
        <v/>
      </c>
      <c r="C76" s="156"/>
      <c r="D76" s="157"/>
      <c r="E76" s="231" t="str">
        <f t="shared" ca="1" si="5"/>
        <v>Review Date</v>
      </c>
      <c r="F76" s="159"/>
      <c r="G76" s="184"/>
      <c r="H76" s="158"/>
      <c r="I76" s="159"/>
    </row>
    <row r="77" spans="1:9" ht="99.75" customHeight="1" x14ac:dyDescent="0.2">
      <c r="A77" s="183"/>
      <c r="B77" s="233" t="str">
        <f t="shared" ca="1" si="4"/>
        <v/>
      </c>
      <c r="C77" s="156"/>
      <c r="D77" s="157"/>
      <c r="E77" s="231" t="str">
        <f t="shared" ca="1" si="5"/>
        <v>Review Date</v>
      </c>
      <c r="F77" s="159"/>
      <c r="G77" s="184"/>
      <c r="H77" s="158"/>
      <c r="I77" s="159"/>
    </row>
    <row r="78" spans="1:9" ht="99.75" customHeight="1" x14ac:dyDescent="0.2">
      <c r="A78" s="183"/>
      <c r="B78" s="233" t="str">
        <f t="shared" ca="1" si="4"/>
        <v/>
      </c>
      <c r="C78" s="156"/>
      <c r="D78" s="157"/>
      <c r="E78" s="231" t="str">
        <f t="shared" ca="1" si="5"/>
        <v>Review Date</v>
      </c>
      <c r="F78" s="159"/>
      <c r="G78" s="184"/>
      <c r="H78" s="158"/>
      <c r="I78" s="159"/>
    </row>
    <row r="79" spans="1:9" ht="99.75" customHeight="1" x14ac:dyDescent="0.2">
      <c r="A79" s="183"/>
      <c r="B79" s="233" t="str">
        <f t="shared" ca="1" si="4"/>
        <v/>
      </c>
      <c r="C79" s="156"/>
      <c r="D79" s="157"/>
      <c r="E79" s="231" t="str">
        <f t="shared" ca="1" si="5"/>
        <v>Review Date</v>
      </c>
      <c r="F79" s="159"/>
      <c r="G79" s="184"/>
      <c r="H79" s="158"/>
      <c r="I79" s="159"/>
    </row>
    <row r="80" spans="1:9" ht="99.75" customHeight="1" x14ac:dyDescent="0.2">
      <c r="A80" s="183"/>
      <c r="B80" s="233" t="str">
        <f t="shared" ca="1" si="4"/>
        <v/>
      </c>
      <c r="C80" s="156"/>
      <c r="D80" s="157"/>
      <c r="E80" s="231" t="str">
        <f t="shared" ca="1" si="5"/>
        <v>Review Date</v>
      </c>
      <c r="F80" s="159"/>
      <c r="G80" s="184"/>
      <c r="H80" s="158"/>
      <c r="I80" s="159"/>
    </row>
    <row r="81" spans="1:9" ht="99.75" customHeight="1" x14ac:dyDescent="0.2">
      <c r="A81" s="183"/>
      <c r="B81" s="233" t="str">
        <f t="shared" ca="1" si="4"/>
        <v/>
      </c>
      <c r="C81" s="156"/>
      <c r="D81" s="157"/>
      <c r="E81" s="231" t="str">
        <f t="shared" ca="1" si="5"/>
        <v>Review Date</v>
      </c>
      <c r="F81" s="159"/>
      <c r="G81" s="184"/>
      <c r="H81" s="158"/>
      <c r="I81" s="159"/>
    </row>
    <row r="82" spans="1:9" ht="99.75" customHeight="1" x14ac:dyDescent="0.2">
      <c r="A82" s="183"/>
      <c r="B82" s="233" t="str">
        <f t="shared" ca="1" si="4"/>
        <v/>
      </c>
      <c r="C82" s="156"/>
      <c r="D82" s="157"/>
      <c r="E82" s="231" t="str">
        <f t="shared" ca="1" si="5"/>
        <v>Review Date</v>
      </c>
      <c r="F82" s="159"/>
      <c r="G82" s="184"/>
      <c r="H82" s="158"/>
      <c r="I82" s="159"/>
    </row>
    <row r="83" spans="1:9" ht="99.75" customHeight="1" x14ac:dyDescent="0.2">
      <c r="A83" s="183"/>
      <c r="B83" s="233" t="str">
        <f t="shared" ca="1" si="4"/>
        <v/>
      </c>
      <c r="C83" s="156"/>
      <c r="D83" s="157"/>
      <c r="E83" s="231" t="str">
        <f t="shared" ca="1" si="5"/>
        <v>Review Date</v>
      </c>
      <c r="F83" s="159"/>
      <c r="G83" s="184"/>
      <c r="H83" s="158"/>
      <c r="I83" s="159"/>
    </row>
    <row r="84" spans="1:9" ht="99.75" customHeight="1" x14ac:dyDescent="0.2">
      <c r="A84" s="183"/>
      <c r="B84" s="233" t="str">
        <f t="shared" ca="1" si="4"/>
        <v/>
      </c>
      <c r="C84" s="156"/>
      <c r="D84" s="157"/>
      <c r="E84" s="231" t="str">
        <f t="shared" ca="1" si="5"/>
        <v>Review Date</v>
      </c>
      <c r="F84" s="159"/>
      <c r="G84" s="184"/>
      <c r="H84" s="158"/>
      <c r="I84" s="159"/>
    </row>
    <row r="85" spans="1:9" ht="99.75" customHeight="1" x14ac:dyDescent="0.2">
      <c r="A85" s="183"/>
      <c r="B85" s="233" t="str">
        <f t="shared" ca="1" si="4"/>
        <v/>
      </c>
      <c r="C85" s="156"/>
      <c r="D85" s="157"/>
      <c r="E85" s="231" t="str">
        <f t="shared" ca="1" si="5"/>
        <v>Review Date</v>
      </c>
      <c r="F85" s="159"/>
      <c r="G85" s="184"/>
      <c r="H85" s="158"/>
      <c r="I85" s="159"/>
    </row>
    <row r="86" spans="1:9" ht="99.75" customHeight="1" x14ac:dyDescent="0.2">
      <c r="A86" s="183"/>
      <c r="B86" s="233" t="str">
        <f t="shared" ca="1" si="4"/>
        <v/>
      </c>
      <c r="C86" s="156"/>
      <c r="D86" s="157"/>
      <c r="E86" s="231" t="str">
        <f t="shared" ca="1" si="5"/>
        <v>Review Date</v>
      </c>
      <c r="F86" s="159"/>
      <c r="G86" s="184"/>
      <c r="H86" s="158"/>
      <c r="I86" s="159"/>
    </row>
    <row r="87" spans="1:9" ht="99.75" customHeight="1" x14ac:dyDescent="0.2">
      <c r="A87" s="183"/>
      <c r="B87" s="233" t="str">
        <f t="shared" ca="1" si="4"/>
        <v/>
      </c>
      <c r="C87" s="156"/>
      <c r="D87" s="157"/>
      <c r="E87" s="231" t="str">
        <f t="shared" ca="1" si="5"/>
        <v>Review Date</v>
      </c>
      <c r="F87" s="159"/>
      <c r="G87" s="184"/>
      <c r="H87" s="158"/>
      <c r="I87" s="159"/>
    </row>
    <row r="88" spans="1:9" ht="99.75" customHeight="1" x14ac:dyDescent="0.2">
      <c r="A88" s="183"/>
      <c r="B88" s="233" t="str">
        <f t="shared" ca="1" si="4"/>
        <v/>
      </c>
      <c r="C88" s="156"/>
      <c r="D88" s="157"/>
      <c r="E88" s="231" t="str">
        <f t="shared" ca="1" si="5"/>
        <v>Review Date</v>
      </c>
      <c r="F88" s="159"/>
      <c r="G88" s="184"/>
      <c r="H88" s="158"/>
      <c r="I88" s="159"/>
    </row>
    <row r="89" spans="1:9" ht="99.75" customHeight="1" x14ac:dyDescent="0.2">
      <c r="A89" s="183"/>
      <c r="B89" s="233" t="str">
        <f t="shared" ca="1" si="4"/>
        <v/>
      </c>
      <c r="C89" s="156"/>
      <c r="D89" s="157"/>
      <c r="E89" s="231" t="str">
        <f t="shared" ca="1" si="5"/>
        <v>Review Date</v>
      </c>
      <c r="F89" s="159"/>
      <c r="G89" s="184"/>
      <c r="H89" s="158"/>
      <c r="I89" s="159"/>
    </row>
    <row r="90" spans="1:9" ht="99.75" customHeight="1" x14ac:dyDescent="0.2">
      <c r="A90" s="183"/>
      <c r="B90" s="233" t="str">
        <f t="shared" ca="1" si="4"/>
        <v/>
      </c>
      <c r="C90" s="156"/>
      <c r="D90" s="157"/>
      <c r="E90" s="231" t="str">
        <f t="shared" ca="1" si="5"/>
        <v>Review Date</v>
      </c>
      <c r="F90" s="159"/>
      <c r="G90" s="184"/>
      <c r="H90" s="158"/>
      <c r="I90" s="159"/>
    </row>
    <row r="91" spans="1:9" ht="99.75" customHeight="1" x14ac:dyDescent="0.2">
      <c r="A91" s="183"/>
      <c r="B91" s="233" t="str">
        <f t="shared" ca="1" si="4"/>
        <v/>
      </c>
      <c r="C91" s="156"/>
      <c r="D91" s="157"/>
      <c r="E91" s="231" t="str">
        <f t="shared" ca="1" si="5"/>
        <v>Review Date</v>
      </c>
      <c r="F91" s="159"/>
      <c r="G91" s="184"/>
      <c r="H91" s="158"/>
      <c r="I91" s="159"/>
    </row>
    <row r="92" spans="1:9" ht="99.75" customHeight="1" x14ac:dyDescent="0.2">
      <c r="A92" s="183"/>
      <c r="B92" s="233" t="str">
        <f t="shared" ca="1" si="4"/>
        <v/>
      </c>
      <c r="C92" s="156"/>
      <c r="D92" s="157"/>
      <c r="E92" s="231" t="str">
        <f t="shared" ca="1" si="5"/>
        <v>Review Date</v>
      </c>
      <c r="F92" s="159"/>
      <c r="G92" s="184"/>
      <c r="H92" s="158"/>
      <c r="I92" s="159"/>
    </row>
    <row r="93" spans="1:9" ht="99.75" customHeight="1" x14ac:dyDescent="0.2">
      <c r="A93" s="183"/>
      <c r="B93" s="233" t="str">
        <f t="shared" ca="1" si="4"/>
        <v/>
      </c>
      <c r="C93" s="156"/>
      <c r="D93" s="157"/>
      <c r="E93" s="231" t="str">
        <f t="shared" ca="1" si="5"/>
        <v>Review Date</v>
      </c>
      <c r="F93" s="159"/>
      <c r="G93" s="184"/>
      <c r="H93" s="158"/>
      <c r="I93" s="159"/>
    </row>
    <row r="94" spans="1:9" ht="99.75" customHeight="1" x14ac:dyDescent="0.2">
      <c r="A94" s="183"/>
      <c r="B94" s="233" t="str">
        <f t="shared" ca="1" si="4"/>
        <v/>
      </c>
      <c r="C94" s="156"/>
      <c r="D94" s="157"/>
      <c r="E94" s="231" t="str">
        <f t="shared" ca="1" si="5"/>
        <v>Review Date</v>
      </c>
      <c r="F94" s="159"/>
      <c r="G94" s="184"/>
      <c r="H94" s="158"/>
      <c r="I94" s="159"/>
    </row>
    <row r="95" spans="1:9" ht="99.75" customHeight="1" x14ac:dyDescent="0.2">
      <c r="A95" s="183"/>
      <c r="B95" s="233" t="str">
        <f t="shared" ca="1" si="4"/>
        <v/>
      </c>
      <c r="C95" s="156"/>
      <c r="D95" s="157"/>
      <c r="E95" s="231" t="str">
        <f t="shared" ca="1" si="5"/>
        <v>Review Date</v>
      </c>
      <c r="F95" s="159"/>
      <c r="G95" s="184"/>
      <c r="H95" s="158"/>
      <c r="I95" s="159"/>
    </row>
    <row r="96" spans="1:9" ht="99.75" customHeight="1" x14ac:dyDescent="0.2">
      <c r="A96" s="183"/>
      <c r="B96" s="233" t="str">
        <f t="shared" ca="1" si="4"/>
        <v/>
      </c>
      <c r="C96" s="156"/>
      <c r="D96" s="157"/>
      <c r="E96" s="231" t="str">
        <f t="shared" ca="1" si="5"/>
        <v>Review Date</v>
      </c>
      <c r="F96" s="159"/>
      <c r="G96" s="184"/>
      <c r="H96" s="158"/>
      <c r="I96" s="159"/>
    </row>
    <row r="97" spans="1:9" ht="99.75" customHeight="1" x14ac:dyDescent="0.2">
      <c r="A97" s="183"/>
      <c r="B97" s="233" t="str">
        <f t="shared" ca="1" si="4"/>
        <v/>
      </c>
      <c r="C97" s="156"/>
      <c r="D97" s="157"/>
      <c r="E97" s="231" t="str">
        <f t="shared" ca="1" si="5"/>
        <v>Review Date</v>
      </c>
      <c r="F97" s="159"/>
      <c r="G97" s="184"/>
      <c r="H97" s="158"/>
      <c r="I97" s="159"/>
    </row>
    <row r="98" spans="1:9" ht="99.75" customHeight="1" x14ac:dyDescent="0.2">
      <c r="A98" s="183"/>
      <c r="B98" s="233" t="str">
        <f t="shared" ca="1" si="4"/>
        <v/>
      </c>
      <c r="C98" s="156"/>
      <c r="D98" s="157"/>
      <c r="E98" s="231" t="str">
        <f t="shared" ca="1" si="5"/>
        <v>Review Date</v>
      </c>
      <c r="F98" s="159"/>
      <c r="G98" s="184"/>
      <c r="H98" s="158"/>
      <c r="I98" s="159"/>
    </row>
    <row r="99" spans="1:9" ht="99.75" customHeight="1" x14ac:dyDescent="0.2">
      <c r="A99" s="183"/>
      <c r="B99" s="233" t="str">
        <f t="shared" ca="1" si="4"/>
        <v/>
      </c>
      <c r="C99" s="156"/>
      <c r="D99" s="157"/>
      <c r="E99" s="231" t="str">
        <f t="shared" ca="1" si="5"/>
        <v>Review Date</v>
      </c>
      <c r="F99" s="159"/>
      <c r="G99" s="184"/>
      <c r="H99" s="158"/>
      <c r="I99" s="159"/>
    </row>
    <row r="100" spans="1:9" ht="99.75" customHeight="1" x14ac:dyDescent="0.2">
      <c r="A100" s="183"/>
      <c r="B100" s="233" t="str">
        <f t="shared" ca="1" si="4"/>
        <v/>
      </c>
      <c r="C100" s="156"/>
      <c r="D100" s="157"/>
      <c r="E100" s="231" t="str">
        <f t="shared" ca="1" si="5"/>
        <v>Review Date</v>
      </c>
      <c r="F100" s="159"/>
      <c r="G100" s="184"/>
      <c r="H100" s="158"/>
      <c r="I100" s="159"/>
    </row>
    <row r="101" spans="1:9" ht="99.75" customHeight="1" x14ac:dyDescent="0.2">
      <c r="A101" s="183"/>
      <c r="B101" s="233" t="str">
        <f t="shared" ca="1" si="4"/>
        <v/>
      </c>
      <c r="C101" s="156"/>
      <c r="D101" s="157"/>
      <c r="E101" s="231" t="str">
        <f t="shared" ca="1" si="5"/>
        <v>Review Date</v>
      </c>
      <c r="F101" s="159"/>
      <c r="G101" s="184"/>
      <c r="H101" s="158"/>
      <c r="I101" s="159"/>
    </row>
    <row r="102" spans="1:9" ht="99.75" customHeight="1" x14ac:dyDescent="0.2">
      <c r="A102" s="183"/>
      <c r="B102" s="233" t="str">
        <f t="shared" ca="1" si="4"/>
        <v/>
      </c>
      <c r="C102" s="156"/>
      <c r="D102" s="157"/>
      <c r="E102" s="231" t="str">
        <f t="shared" ca="1" si="5"/>
        <v>Review Date</v>
      </c>
      <c r="F102" s="159"/>
      <c r="G102" s="184"/>
      <c r="H102" s="158"/>
      <c r="I102" s="159"/>
    </row>
    <row r="103" spans="1:9" ht="99.75" customHeight="1" x14ac:dyDescent="0.2">
      <c r="A103" s="183"/>
      <c r="B103" s="233" t="str">
        <f t="shared" ca="1" si="4"/>
        <v/>
      </c>
      <c r="C103" s="156"/>
      <c r="D103" s="157"/>
      <c r="E103" s="231" t="str">
        <f t="shared" ca="1" si="5"/>
        <v>Review Date</v>
      </c>
      <c r="F103" s="159"/>
      <c r="G103" s="184"/>
      <c r="H103" s="158"/>
      <c r="I103" s="159"/>
    </row>
    <row r="104" spans="1:9" ht="99.75" customHeight="1" x14ac:dyDescent="0.2">
      <c r="A104" s="183"/>
      <c r="B104" s="233" t="str">
        <f t="shared" ca="1" si="4"/>
        <v/>
      </c>
      <c r="C104" s="156"/>
      <c r="D104" s="157"/>
      <c r="E104" s="231" t="str">
        <f t="shared" ca="1" si="5"/>
        <v>Review Date</v>
      </c>
      <c r="F104" s="159"/>
      <c r="G104" s="184"/>
      <c r="H104" s="158"/>
      <c r="I104" s="159"/>
    </row>
    <row r="105" spans="1:9" ht="99.75" customHeight="1" x14ac:dyDescent="0.2">
      <c r="A105" s="183"/>
      <c r="B105" s="233" t="str">
        <f t="shared" ca="1" si="4"/>
        <v/>
      </c>
      <c r="C105" s="156"/>
      <c r="D105" s="157"/>
      <c r="E105" s="231" t="str">
        <f t="shared" ca="1" si="5"/>
        <v>Review Date</v>
      </c>
      <c r="F105" s="159"/>
      <c r="G105" s="184"/>
      <c r="H105" s="158"/>
      <c r="I105" s="159"/>
    </row>
    <row r="106" spans="1:9" ht="99.75" customHeight="1" x14ac:dyDescent="0.2">
      <c r="A106" s="183"/>
      <c r="B106" s="233" t="str">
        <f t="shared" ca="1" si="4"/>
        <v/>
      </c>
      <c r="C106" s="156"/>
      <c r="D106" s="157"/>
      <c r="E106" s="231" t="str">
        <f t="shared" ca="1" si="5"/>
        <v>Review Date</v>
      </c>
      <c r="F106" s="159"/>
      <c r="G106" s="184"/>
      <c r="H106" s="158"/>
      <c r="I106" s="159"/>
    </row>
    <row r="107" spans="1:9" ht="99.75" customHeight="1" x14ac:dyDescent="0.2">
      <c r="A107" s="183"/>
      <c r="B107" s="233" t="str">
        <f t="shared" ca="1" si="4"/>
        <v/>
      </c>
      <c r="C107" s="156"/>
      <c r="D107" s="157"/>
      <c r="E107" s="231" t="str">
        <f t="shared" ca="1" si="5"/>
        <v>Review Date</v>
      </c>
      <c r="F107" s="159"/>
      <c r="G107" s="184"/>
      <c r="H107" s="158"/>
      <c r="I107" s="159"/>
    </row>
    <row r="108" spans="1:9" ht="99.75" customHeight="1" x14ac:dyDescent="0.2">
      <c r="A108" s="183"/>
      <c r="B108" s="233" t="str">
        <f t="shared" ca="1" si="4"/>
        <v/>
      </c>
      <c r="C108" s="156"/>
      <c r="D108" s="157"/>
      <c r="E108" s="231" t="str">
        <f t="shared" ca="1" si="5"/>
        <v>Review Date</v>
      </c>
      <c r="F108" s="159"/>
      <c r="G108" s="184"/>
      <c r="H108" s="158"/>
      <c r="I108" s="159"/>
    </row>
    <row r="109" spans="1:9" ht="99.75" customHeight="1" x14ac:dyDescent="0.2">
      <c r="A109" s="183"/>
      <c r="B109" s="233" t="str">
        <f t="shared" ca="1" si="4"/>
        <v/>
      </c>
      <c r="C109" s="156"/>
      <c r="D109" s="157"/>
      <c r="E109" s="231" t="str">
        <f t="shared" ca="1" si="5"/>
        <v>Review Date</v>
      </c>
      <c r="F109" s="159"/>
      <c r="G109" s="184"/>
      <c r="H109" s="158"/>
      <c r="I109" s="159"/>
    </row>
    <row r="110" spans="1:9" ht="99.75" customHeight="1" x14ac:dyDescent="0.2">
      <c r="A110" s="183"/>
      <c r="B110" s="233" t="str">
        <f t="shared" ca="1" si="4"/>
        <v/>
      </c>
      <c r="C110" s="156"/>
      <c r="D110" s="157"/>
      <c r="E110" s="231" t="str">
        <f t="shared" ca="1" si="5"/>
        <v>Review Date</v>
      </c>
      <c r="F110" s="159"/>
      <c r="G110" s="184"/>
      <c r="H110" s="158"/>
      <c r="I110" s="159"/>
    </row>
    <row r="111" spans="1:9" ht="99.75" customHeight="1" x14ac:dyDescent="0.2">
      <c r="A111" s="183"/>
      <c r="B111" s="233" t="str">
        <f t="shared" ca="1" si="4"/>
        <v/>
      </c>
      <c r="C111" s="156"/>
      <c r="D111" s="157"/>
      <c r="E111" s="231" t="str">
        <f t="shared" ca="1" si="5"/>
        <v>Review Date</v>
      </c>
      <c r="F111" s="159"/>
      <c r="G111" s="184"/>
      <c r="H111" s="158"/>
      <c r="I111" s="159"/>
    </row>
    <row r="112" spans="1:9" ht="99.75" customHeight="1" x14ac:dyDescent="0.2">
      <c r="A112" s="183"/>
      <c r="B112" s="233" t="str">
        <f t="shared" ca="1" si="4"/>
        <v/>
      </c>
      <c r="C112" s="156"/>
      <c r="D112" s="157"/>
      <c r="E112" s="231" t="str">
        <f t="shared" ca="1" si="5"/>
        <v>Review Date</v>
      </c>
      <c r="F112" s="159"/>
      <c r="G112" s="184"/>
      <c r="H112" s="158"/>
      <c r="I112" s="159"/>
    </row>
    <row r="113" spans="1:9" ht="99.75" customHeight="1" x14ac:dyDescent="0.2">
      <c r="A113" s="183"/>
      <c r="B113" s="233" t="str">
        <f t="shared" ca="1" si="4"/>
        <v/>
      </c>
      <c r="C113" s="156"/>
      <c r="D113" s="157"/>
      <c r="E113" s="231" t="str">
        <f t="shared" ca="1" si="5"/>
        <v>Review Date</v>
      </c>
      <c r="F113" s="159"/>
      <c r="G113" s="184"/>
      <c r="H113" s="158"/>
      <c r="I113" s="159"/>
    </row>
    <row r="114" spans="1:9" ht="99.75" customHeight="1" x14ac:dyDescent="0.2">
      <c r="A114" s="183"/>
      <c r="B114" s="233" t="str">
        <f t="shared" ca="1" si="4"/>
        <v/>
      </c>
      <c r="C114" s="156"/>
      <c r="D114" s="157"/>
      <c r="E114" s="231" t="str">
        <f t="shared" ca="1" si="5"/>
        <v>Review Date</v>
      </c>
      <c r="F114" s="159"/>
      <c r="G114" s="184"/>
      <c r="H114" s="158"/>
      <c r="I114" s="159"/>
    </row>
    <row r="115" spans="1:9" ht="99.75" customHeight="1" x14ac:dyDescent="0.2">
      <c r="A115" s="183"/>
      <c r="B115" s="233" t="str">
        <f t="shared" ca="1" si="4"/>
        <v/>
      </c>
      <c r="C115" s="156"/>
      <c r="D115" s="157"/>
      <c r="E115" s="231" t="str">
        <f t="shared" ca="1" si="5"/>
        <v>Review Date</v>
      </c>
      <c r="F115" s="159"/>
      <c r="G115" s="184"/>
      <c r="H115" s="158"/>
      <c r="I115" s="159"/>
    </row>
    <row r="116" spans="1:9" ht="99.75" customHeight="1" x14ac:dyDescent="0.2">
      <c r="A116" s="183"/>
      <c r="B116" s="233" t="str">
        <f t="shared" ca="1" si="4"/>
        <v/>
      </c>
      <c r="C116" s="156"/>
      <c r="D116" s="157"/>
      <c r="E116" s="231" t="str">
        <f t="shared" ca="1" si="5"/>
        <v>Review Date</v>
      </c>
      <c r="F116" s="159"/>
      <c r="G116" s="184"/>
      <c r="H116" s="158"/>
      <c r="I116" s="159"/>
    </row>
    <row r="117" spans="1:9" ht="99.75" customHeight="1" x14ac:dyDescent="0.2">
      <c r="A117" s="183"/>
      <c r="B117" s="233" t="str">
        <f t="shared" ca="1" si="4"/>
        <v/>
      </c>
      <c r="C117" s="156"/>
      <c r="D117" s="157"/>
      <c r="E117" s="231" t="str">
        <f t="shared" ca="1" si="5"/>
        <v>Review Date</v>
      </c>
      <c r="F117" s="159"/>
      <c r="G117" s="184"/>
      <c r="H117" s="158"/>
      <c r="I117" s="159"/>
    </row>
    <row r="118" spans="1:9" ht="99.75" customHeight="1" x14ac:dyDescent="0.2">
      <c r="A118" s="183"/>
      <c r="B118" s="233" t="str">
        <f t="shared" ca="1" si="4"/>
        <v/>
      </c>
      <c r="C118" s="156"/>
      <c r="D118" s="157"/>
      <c r="E118" s="231" t="str">
        <f t="shared" ca="1" si="5"/>
        <v>Review Date</v>
      </c>
      <c r="F118" s="159"/>
      <c r="G118" s="184"/>
      <c r="H118" s="158"/>
      <c r="I118" s="159"/>
    </row>
    <row r="119" spans="1:9" ht="99.75" customHeight="1" x14ac:dyDescent="0.2">
      <c r="A119" s="183"/>
      <c r="B119" s="233" t="str">
        <f t="shared" ca="1" si="4"/>
        <v/>
      </c>
      <c r="C119" s="156"/>
      <c r="D119" s="157"/>
      <c r="E119" s="231" t="str">
        <f t="shared" ca="1" si="5"/>
        <v>Review Date</v>
      </c>
      <c r="F119" s="159"/>
      <c r="G119" s="184"/>
      <c r="H119" s="158"/>
      <c r="I119" s="159"/>
    </row>
    <row r="120" spans="1:9" ht="99.75" customHeight="1" x14ac:dyDescent="0.2">
      <c r="A120" s="183"/>
      <c r="B120" s="233" t="str">
        <f t="shared" ca="1" si="4"/>
        <v/>
      </c>
      <c r="C120" s="156"/>
      <c r="D120" s="157"/>
      <c r="E120" s="231" t="str">
        <f t="shared" ca="1" si="5"/>
        <v>Review Date</v>
      </c>
      <c r="F120" s="159"/>
      <c r="G120" s="184"/>
      <c r="H120" s="158"/>
      <c r="I120" s="159"/>
    </row>
  </sheetData>
  <conditionalFormatting sqref="D2:E2 E2:E120">
    <cfRule type="colorScale" priority="70">
      <colorScale>
        <cfvo type="formula" val="&quot;$D1-Today()&gt;0&quot;"/>
        <cfvo type="formula" val="&quot;($D1-Today()&lt;3) &amp; ($D1-Today()&gt;1)&quot;"/>
        <cfvo type="formula" val="&quot;$A1-$D1&lt;1&quot;"/>
        <color rgb="FFFF7983"/>
        <color rgb="FFFBFFA3"/>
        <color rgb="FF9FF8CE"/>
      </colorScale>
    </cfRule>
  </conditionalFormatting>
  <conditionalFormatting sqref="I1 I3 I5:I1048576">
    <cfRule type="colorScale" priority="66">
      <colorScale>
        <cfvo type="formula" val="&quot;$D2&lt;$E2&quot;"/>
        <cfvo type="formula" val="&quot;$H2=&quot;&quot;Completed&quot;&quot;&quot;"/>
        <color rgb="FFFF7128"/>
        <color rgb="FFFFEF9C"/>
      </colorScale>
    </cfRule>
  </conditionalFormatting>
  <conditionalFormatting sqref="A3:I120">
    <cfRule type="expression" dxfId="29" priority="60">
      <formula>$H3="completed"</formula>
    </cfRule>
    <cfRule type="expression" dxfId="28" priority="61">
      <formula>AND($D3&lt;$E3, $H3&lt;&gt;"completed", $D3&lt;&gt;"")</formula>
    </cfRule>
  </conditionalFormatting>
  <conditionalFormatting sqref="A3:I3">
    <cfRule type="expression" dxfId="27" priority="56">
      <formula>$H3="completed"</formula>
    </cfRule>
    <cfRule type="expression" dxfId="26" priority="57">
      <formula>AND($D3&lt;$E3, $H3&lt;&gt;"completed", $D3&lt;&gt;"")</formula>
    </cfRule>
  </conditionalFormatting>
  <conditionalFormatting sqref="A4:I4">
    <cfRule type="expression" dxfId="25" priority="53">
      <formula>$H4="completed"</formula>
    </cfRule>
    <cfRule type="expression" dxfId="24" priority="54">
      <formula>AND($D4&lt;$E4, $H4&lt;&gt;"completed", $D4&lt;&gt;"")</formula>
    </cfRule>
  </conditionalFormatting>
  <conditionalFormatting sqref="A5:I5">
    <cfRule type="expression" dxfId="23" priority="49">
      <formula>$H5="completed"</formula>
    </cfRule>
    <cfRule type="expression" dxfId="22" priority="50">
      <formula>AND($D5&lt;$E5, $H5&lt;&gt;"completed", $D5&lt;&gt;"")</formula>
    </cfRule>
  </conditionalFormatting>
  <conditionalFormatting sqref="A6:I6">
    <cfRule type="expression" dxfId="21" priority="45">
      <formula>$H6="completed"</formula>
    </cfRule>
    <cfRule type="expression" dxfId="20" priority="46">
      <formula>AND($D6&lt;$E6, $H6&lt;&gt;"completed", $D6&lt;&gt;"")</formula>
    </cfRule>
  </conditionalFormatting>
  <conditionalFormatting sqref="A7:I7">
    <cfRule type="expression" dxfId="19" priority="41">
      <formula>$H7="completed"</formula>
    </cfRule>
    <cfRule type="expression" dxfId="18" priority="42">
      <formula>AND($D7&lt;$E7, $H7&lt;&gt;"completed", $D7&lt;&gt;"")</formula>
    </cfRule>
  </conditionalFormatting>
  <conditionalFormatting sqref="A8:I8">
    <cfRule type="expression" dxfId="17" priority="37">
      <formula>$H8="completed"</formula>
    </cfRule>
    <cfRule type="expression" dxfId="16" priority="38">
      <formula>AND($D8&lt;$E8, $H8&lt;&gt;"completed", $D8&lt;&gt;"")</formula>
    </cfRule>
  </conditionalFormatting>
  <conditionalFormatting sqref="A9:I9">
    <cfRule type="expression" dxfId="15" priority="33">
      <formula>$H9="completed"</formula>
    </cfRule>
    <cfRule type="expression" dxfId="14" priority="34">
      <formula>AND($D9&lt;$E9, $H9&lt;&gt;"completed", $D9&lt;&gt;"")</formula>
    </cfRule>
  </conditionalFormatting>
  <conditionalFormatting sqref="E10">
    <cfRule type="colorScale" priority="28">
      <colorScale>
        <cfvo type="formula" val="&quot;$D1-Today()&gt;0&quot;"/>
        <cfvo type="formula" val="&quot;($D1-Today()&lt;3) &amp; ($D1-Today()&gt;1)&quot;"/>
        <cfvo type="formula" val="&quot;$A1-$D1&lt;1&quot;"/>
        <color rgb="FFFF7983"/>
        <color rgb="FFFBFFA3"/>
        <color rgb="FF9FF8CE"/>
      </colorScale>
    </cfRule>
  </conditionalFormatting>
  <conditionalFormatting sqref="I10">
    <cfRule type="colorScale" priority="27">
      <colorScale>
        <cfvo type="formula" val="&quot;$D2&lt;$E2&quot;"/>
        <cfvo type="formula" val="&quot;$H2=&quot;&quot;Completed&quot;&quot;&quot;"/>
        <color rgb="FFFF7128"/>
        <color rgb="FFFFEF9C"/>
      </colorScale>
    </cfRule>
  </conditionalFormatting>
  <conditionalFormatting sqref="A10:I10">
    <cfRule type="expression" dxfId="13" priority="25">
      <formula>$H10="completed"</formula>
    </cfRule>
    <cfRule type="expression" dxfId="12" priority="26">
      <formula>AND($D10&lt;$E10, $H10&lt;&gt;"completed", $D10&lt;&gt;"")</formula>
    </cfRule>
  </conditionalFormatting>
  <conditionalFormatting sqref="E11">
    <cfRule type="colorScale" priority="24">
      <colorScale>
        <cfvo type="formula" val="&quot;$D1-Today()&gt;0&quot;"/>
        <cfvo type="formula" val="&quot;($D1-Today()&lt;3) &amp; ($D1-Today()&gt;1)&quot;"/>
        <cfvo type="formula" val="&quot;$A1-$D1&lt;1&quot;"/>
        <color rgb="FFFF7983"/>
        <color rgb="FFFBFFA3"/>
        <color rgb="FF9FF8CE"/>
      </colorScale>
    </cfRule>
  </conditionalFormatting>
  <conditionalFormatting sqref="I11">
    <cfRule type="colorScale" priority="23">
      <colorScale>
        <cfvo type="formula" val="&quot;$D2&lt;$E2&quot;"/>
        <cfvo type="formula" val="&quot;$H2=&quot;&quot;Completed&quot;&quot;&quot;"/>
        <color rgb="FFFF7128"/>
        <color rgb="FFFFEF9C"/>
      </colorScale>
    </cfRule>
  </conditionalFormatting>
  <conditionalFormatting sqref="A11:I11">
    <cfRule type="expression" dxfId="11" priority="21">
      <formula>$H11="completed"</formula>
    </cfRule>
    <cfRule type="expression" dxfId="10" priority="22">
      <formula>AND($D11&lt;$E11, $H11&lt;&gt;"completed", $D11&lt;&gt;"")</formula>
    </cfRule>
  </conditionalFormatting>
  <conditionalFormatting sqref="E12">
    <cfRule type="colorScale" priority="20">
      <colorScale>
        <cfvo type="formula" val="&quot;$D1-Today()&gt;0&quot;"/>
        <cfvo type="formula" val="&quot;($D1-Today()&lt;3) &amp; ($D1-Today()&gt;1)&quot;"/>
        <cfvo type="formula" val="&quot;$A1-$D1&lt;1&quot;"/>
        <color rgb="FFFF7983"/>
        <color rgb="FFFBFFA3"/>
        <color rgb="FF9FF8CE"/>
      </colorScale>
    </cfRule>
  </conditionalFormatting>
  <conditionalFormatting sqref="I12">
    <cfRule type="colorScale" priority="19">
      <colorScale>
        <cfvo type="formula" val="&quot;$D2&lt;$E2&quot;"/>
        <cfvo type="formula" val="&quot;$H2=&quot;&quot;Completed&quot;&quot;&quot;"/>
        <color rgb="FFFF7128"/>
        <color rgb="FFFFEF9C"/>
      </colorScale>
    </cfRule>
  </conditionalFormatting>
  <conditionalFormatting sqref="A12:I12">
    <cfRule type="expression" dxfId="9" priority="17">
      <formula>$H12="completed"</formula>
    </cfRule>
    <cfRule type="expression" dxfId="8" priority="18">
      <formula>AND($D12&lt;$E12, $H12&lt;&gt;"completed", $D12&lt;&gt;"")</formula>
    </cfRule>
  </conditionalFormatting>
  <conditionalFormatting sqref="E13">
    <cfRule type="colorScale" priority="16">
      <colorScale>
        <cfvo type="formula" val="&quot;$D1-Today()&gt;0&quot;"/>
        <cfvo type="formula" val="&quot;($D1-Today()&lt;3) &amp; ($D1-Today()&gt;1)&quot;"/>
        <cfvo type="formula" val="&quot;$A1-$D1&lt;1&quot;"/>
        <color rgb="FFFF7983"/>
        <color rgb="FFFBFFA3"/>
        <color rgb="FF9FF8CE"/>
      </colorScale>
    </cfRule>
  </conditionalFormatting>
  <conditionalFormatting sqref="I13">
    <cfRule type="colorScale" priority="15">
      <colorScale>
        <cfvo type="formula" val="&quot;$D2&lt;$E2&quot;"/>
        <cfvo type="formula" val="&quot;$H2=&quot;&quot;Completed&quot;&quot;&quot;"/>
        <color rgb="FFFF7128"/>
        <color rgb="FFFFEF9C"/>
      </colorScale>
    </cfRule>
  </conditionalFormatting>
  <conditionalFormatting sqref="A13:I13">
    <cfRule type="expression" dxfId="7" priority="13">
      <formula>$H13="completed"</formula>
    </cfRule>
    <cfRule type="expression" dxfId="6" priority="14">
      <formula>AND($D13&lt;$E13, $H13&lt;&gt;"completed", $D13&lt;&gt;"")</formula>
    </cfRule>
  </conditionalFormatting>
  <conditionalFormatting sqref="E14">
    <cfRule type="colorScale" priority="12">
      <colorScale>
        <cfvo type="formula" val="&quot;$D1-Today()&gt;0&quot;"/>
        <cfvo type="formula" val="&quot;($D1-Today()&lt;3) &amp; ($D1-Today()&gt;1)&quot;"/>
        <cfvo type="formula" val="&quot;$A1-$D1&lt;1&quot;"/>
        <color rgb="FFFF7983"/>
        <color rgb="FFFBFFA3"/>
        <color rgb="FF9FF8CE"/>
      </colorScale>
    </cfRule>
  </conditionalFormatting>
  <conditionalFormatting sqref="I14">
    <cfRule type="colorScale" priority="11">
      <colorScale>
        <cfvo type="formula" val="&quot;$D2&lt;$E2&quot;"/>
        <cfvo type="formula" val="&quot;$H2=&quot;&quot;Completed&quot;&quot;&quot;"/>
        <color rgb="FFFF7128"/>
        <color rgb="FFFFEF9C"/>
      </colorScale>
    </cfRule>
  </conditionalFormatting>
  <conditionalFormatting sqref="A14:I14">
    <cfRule type="expression" dxfId="5" priority="9">
      <formula>$H14="completed"</formula>
    </cfRule>
    <cfRule type="expression" dxfId="4" priority="10">
      <formula>AND($D14&lt;$E14, $H14&lt;&gt;"completed", $D14&lt;&gt;"")</formula>
    </cfRule>
  </conditionalFormatting>
  <conditionalFormatting sqref="E15">
    <cfRule type="colorScale" priority="8">
      <colorScale>
        <cfvo type="formula" val="&quot;$D1-Today()&gt;0&quot;"/>
        <cfvo type="formula" val="&quot;($D1-Today()&lt;3) &amp; ($D1-Today()&gt;1)&quot;"/>
        <cfvo type="formula" val="&quot;$A1-$D1&lt;1&quot;"/>
        <color rgb="FFFF7983"/>
        <color rgb="FFFBFFA3"/>
        <color rgb="FF9FF8CE"/>
      </colorScale>
    </cfRule>
  </conditionalFormatting>
  <conditionalFormatting sqref="I15">
    <cfRule type="colorScale" priority="7">
      <colorScale>
        <cfvo type="formula" val="&quot;$D2&lt;$E2&quot;"/>
        <cfvo type="formula" val="&quot;$H2=&quot;&quot;Completed&quot;&quot;&quot;"/>
        <color rgb="FFFF7128"/>
        <color rgb="FFFFEF9C"/>
      </colorScale>
    </cfRule>
  </conditionalFormatting>
  <conditionalFormatting sqref="A15:I15">
    <cfRule type="expression" dxfId="3" priority="5">
      <formula>$H15="completed"</formula>
    </cfRule>
    <cfRule type="expression" dxfId="2" priority="6">
      <formula>AND($D15&lt;$E15, $H15&lt;&gt;"completed", $D15&lt;&gt;"")</formula>
    </cfRule>
  </conditionalFormatting>
  <conditionalFormatting sqref="E16">
    <cfRule type="colorScale" priority="4">
      <colorScale>
        <cfvo type="formula" val="&quot;$D1-Today()&gt;0&quot;"/>
        <cfvo type="formula" val="&quot;($D1-Today()&lt;3) &amp; ($D1-Today()&gt;1)&quot;"/>
        <cfvo type="formula" val="&quot;$A1-$D1&lt;1&quot;"/>
        <color rgb="FFFF7983"/>
        <color rgb="FFFBFFA3"/>
        <color rgb="FF9FF8CE"/>
      </colorScale>
    </cfRule>
  </conditionalFormatting>
  <conditionalFormatting sqref="I16">
    <cfRule type="colorScale" priority="3">
      <colorScale>
        <cfvo type="formula" val="&quot;$D2&lt;$E2&quot;"/>
        <cfvo type="formula" val="&quot;$H2=&quot;&quot;Completed&quot;&quot;&quot;"/>
        <color rgb="FFFF7128"/>
        <color rgb="FFFFEF9C"/>
      </colorScale>
    </cfRule>
  </conditionalFormatting>
  <conditionalFormatting sqref="A16:I16">
    <cfRule type="expression" dxfId="1" priority="1">
      <formula>$H16="completed"</formula>
    </cfRule>
    <cfRule type="expression" dxfId="0" priority="2">
      <formula>AND($D16&lt;$E16, $H16&lt;&gt;"completed", $D16&lt;&gt;"")</formula>
    </cfRule>
  </conditionalFormatting>
  <hyperlinks>
    <hyperlink ref="A1" location="Navigation!A1" display="Home"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28"/>
  <sheetViews>
    <sheetView topLeftCell="A5" zoomScale="110" zoomScaleNormal="110" workbookViewId="0">
      <pane xSplit="2" ySplit="2" topLeftCell="V7" activePane="bottomRight" state="frozen"/>
      <selection activeCell="B21" sqref="B21"/>
      <selection pane="topRight" activeCell="B21" sqref="B21"/>
      <selection pane="bottomLeft" activeCell="B21" sqref="B21"/>
      <selection pane="bottomRight" activeCell="W20" sqref="W20"/>
    </sheetView>
  </sheetViews>
  <sheetFormatPr baseColWidth="10" defaultColWidth="11" defaultRowHeight="16" x14ac:dyDescent="0.2"/>
  <cols>
    <col min="1" max="1" width="19.1640625" bestFit="1" customWidth="1"/>
    <col min="2" max="2" width="39.6640625" bestFit="1" customWidth="1"/>
    <col min="29" max="29" width="15" bestFit="1" customWidth="1"/>
  </cols>
  <sheetData>
    <row r="1" spans="1:29" ht="19" x14ac:dyDescent="0.25">
      <c r="A1" s="3" t="s">
        <v>0</v>
      </c>
      <c r="B1" s="56"/>
      <c r="C1" s="4"/>
      <c r="D1" s="4"/>
      <c r="E1" s="4"/>
      <c r="F1" s="4"/>
      <c r="G1" s="4"/>
      <c r="H1" s="4"/>
      <c r="I1" s="4"/>
      <c r="J1" s="4"/>
      <c r="K1" s="4"/>
      <c r="L1" s="4"/>
      <c r="M1" s="4"/>
      <c r="N1" s="5"/>
    </row>
    <row r="2" spans="1:29" ht="19" x14ac:dyDescent="0.25">
      <c r="A2" s="6" t="s">
        <v>4</v>
      </c>
      <c r="B2" s="57"/>
      <c r="C2" s="2"/>
      <c r="D2" s="2"/>
      <c r="E2" s="2"/>
      <c r="F2" s="2"/>
      <c r="G2" s="2"/>
      <c r="H2" s="2"/>
      <c r="I2" s="2"/>
      <c r="J2" s="2"/>
      <c r="K2" s="2"/>
      <c r="L2" s="2"/>
      <c r="M2" s="2"/>
      <c r="N2" s="7"/>
    </row>
    <row r="3" spans="1:29" ht="19" x14ac:dyDescent="0.25">
      <c r="A3" s="8" t="s">
        <v>1</v>
      </c>
      <c r="B3" s="57"/>
      <c r="C3" s="2"/>
      <c r="D3" s="2"/>
      <c r="E3" s="2"/>
      <c r="F3" s="2"/>
      <c r="G3" s="2"/>
      <c r="H3" s="2"/>
      <c r="I3" s="2"/>
      <c r="J3" s="2"/>
      <c r="K3" s="2"/>
      <c r="L3" s="2"/>
      <c r="M3" s="2"/>
      <c r="N3" s="7"/>
    </row>
    <row r="4" spans="1:29" ht="19" x14ac:dyDescent="0.25">
      <c r="A4" s="8" t="s">
        <v>2</v>
      </c>
      <c r="B4" s="57"/>
      <c r="C4" s="2"/>
      <c r="D4" s="2"/>
      <c r="E4" s="2"/>
      <c r="F4" s="2"/>
      <c r="G4" s="2"/>
      <c r="H4" s="2"/>
      <c r="I4" s="2"/>
      <c r="J4" s="2"/>
      <c r="K4" s="2"/>
      <c r="L4" s="2"/>
      <c r="M4" s="2"/>
      <c r="N4" s="7"/>
    </row>
    <row r="5" spans="1:29" ht="20" thickBot="1" x14ac:dyDescent="0.3">
      <c r="A5" s="8" t="s">
        <v>3</v>
      </c>
      <c r="B5" s="57"/>
      <c r="C5" s="2"/>
      <c r="D5" s="2"/>
      <c r="E5" s="2"/>
      <c r="F5" s="2"/>
      <c r="G5" s="2"/>
      <c r="H5" s="2"/>
      <c r="I5" s="2"/>
      <c r="J5" s="2"/>
      <c r="K5" s="2"/>
      <c r="L5" s="2"/>
      <c r="M5" s="2"/>
      <c r="N5" s="7"/>
    </row>
    <row r="6" spans="1:29" ht="27" customHeight="1" thickBot="1" x14ac:dyDescent="0.3">
      <c r="A6" s="253" t="s">
        <v>51</v>
      </c>
      <c r="B6" s="44" t="s">
        <v>17</v>
      </c>
      <c r="C6" s="21" t="s">
        <v>5</v>
      </c>
      <c r="D6" s="22" t="s">
        <v>6</v>
      </c>
      <c r="E6" s="23" t="s">
        <v>7</v>
      </c>
      <c r="F6" s="24" t="s">
        <v>8</v>
      </c>
      <c r="G6" s="25" t="s">
        <v>9</v>
      </c>
      <c r="H6" s="26" t="s">
        <v>10</v>
      </c>
      <c r="I6" s="27" t="s">
        <v>11</v>
      </c>
      <c r="J6" s="28" t="s">
        <v>12</v>
      </c>
      <c r="K6" s="29" t="s">
        <v>13</v>
      </c>
      <c r="L6" s="30" t="s">
        <v>14</v>
      </c>
      <c r="M6" s="31" t="s">
        <v>15</v>
      </c>
      <c r="N6" s="32" t="s">
        <v>16</v>
      </c>
      <c r="O6" s="69" t="s">
        <v>97</v>
      </c>
      <c r="P6" s="203">
        <v>43831</v>
      </c>
      <c r="Q6" s="204">
        <v>43862</v>
      </c>
      <c r="R6" s="205">
        <v>43891</v>
      </c>
      <c r="S6" s="206">
        <v>43922</v>
      </c>
      <c r="T6" s="207">
        <v>43952</v>
      </c>
      <c r="U6" s="208">
        <v>43983</v>
      </c>
      <c r="V6" s="209">
        <v>44013</v>
      </c>
      <c r="W6" s="210">
        <v>44044</v>
      </c>
      <c r="X6" s="211">
        <v>44075</v>
      </c>
      <c r="Y6" s="212">
        <v>44105</v>
      </c>
      <c r="Z6" s="213">
        <v>44136</v>
      </c>
      <c r="AA6" s="214">
        <v>44166</v>
      </c>
      <c r="AB6" s="215" t="s">
        <v>96</v>
      </c>
      <c r="AC6" s="230" t="s">
        <v>100</v>
      </c>
    </row>
    <row r="7" spans="1:29" ht="27" customHeight="1" x14ac:dyDescent="0.25">
      <c r="A7" s="254"/>
      <c r="B7" s="133" t="s">
        <v>18</v>
      </c>
      <c r="C7" s="138">
        <f>SUM(Jan!C2:G2)</f>
        <v>452</v>
      </c>
      <c r="D7" s="138">
        <f>SUM(Feb!C2:G2)</f>
        <v>377</v>
      </c>
      <c r="E7" s="138">
        <f>SUM(Mar!C2:G2)</f>
        <v>445</v>
      </c>
      <c r="F7" s="138">
        <f>SUM(Apr!C2:G2)</f>
        <v>411</v>
      </c>
      <c r="G7" s="138">
        <f>SUM(May!C2:G2)</f>
        <v>464</v>
      </c>
      <c r="H7" s="138">
        <f>SUM(Jun!C2:G2)</f>
        <v>428</v>
      </c>
      <c r="I7" s="138">
        <f>SUM(Jul!C2:G2)</f>
        <v>428</v>
      </c>
      <c r="J7" s="138">
        <f>SUM(Aug!C2:G2)</f>
        <v>391</v>
      </c>
      <c r="K7" s="138">
        <f>SUM(Sep!C2:G2)</f>
        <v>467</v>
      </c>
      <c r="L7" s="138">
        <f>SUM(Oct!C2:G2)</f>
        <v>398</v>
      </c>
      <c r="M7" s="138">
        <f>SUM(Nov!C2:G2)</f>
        <v>383</v>
      </c>
      <c r="N7" s="168">
        <f>SUM(Dec!C2:G2)</f>
        <v>413</v>
      </c>
      <c r="O7" s="201">
        <f>SUM(C7:N7)</f>
        <v>5057</v>
      </c>
      <c r="P7" s="171">
        <f>SUM('Jan20'!C2:G2)</f>
        <v>462</v>
      </c>
      <c r="Q7" s="171">
        <f>SUM('Feb20'!C2:G2)</f>
        <v>499</v>
      </c>
      <c r="R7" s="171">
        <f>SUM('Mar20'!C2:G2)</f>
        <v>509</v>
      </c>
      <c r="S7" s="171">
        <f>SUM('Apr20'!C2:G2)</f>
        <v>540</v>
      </c>
      <c r="T7" s="171">
        <f>SUM('May20'!C2:G2)</f>
        <v>598</v>
      </c>
      <c r="U7" s="171">
        <f>SUM('Jun20'!C2:G2)</f>
        <v>571</v>
      </c>
      <c r="V7" s="171">
        <f>SUM('Jul20'!C2:G2)</f>
        <v>0</v>
      </c>
      <c r="W7" s="171">
        <f>SUM('Aug20'!C2:G2)</f>
        <v>0</v>
      </c>
      <c r="X7" s="171">
        <f>SUM('Sep20'!C2:G2)</f>
        <v>0</v>
      </c>
      <c r="Y7" s="171">
        <f>SUM('Oct20'!C2:G2)</f>
        <v>0</v>
      </c>
      <c r="Z7" s="171">
        <f>SUM('Nov20'!C2:G2)</f>
        <v>0</v>
      </c>
      <c r="AA7" s="171">
        <f>SUM('Dec20'!C2:G2)</f>
        <v>0</v>
      </c>
      <c r="AB7" s="216">
        <f>SUM(P7:AA7)</f>
        <v>3179</v>
      </c>
      <c r="AC7" s="230">
        <f>O7+AB7</f>
        <v>8236</v>
      </c>
    </row>
    <row r="8" spans="1:29" ht="27" customHeight="1" x14ac:dyDescent="0.25">
      <c r="A8" s="254"/>
      <c r="B8" s="9" t="s">
        <v>23</v>
      </c>
      <c r="C8" s="139">
        <f>SUM(Jan!C3:G3)</f>
        <v>368</v>
      </c>
      <c r="D8" s="139">
        <f>SUM(Feb!C3:G3)</f>
        <v>313</v>
      </c>
      <c r="E8" s="139">
        <f>SUM(Mar!C3:G3)</f>
        <v>357</v>
      </c>
      <c r="F8" s="139">
        <f>SUM(Apr!C3:G3)</f>
        <v>321</v>
      </c>
      <c r="G8" s="139">
        <f>SUM(May!C3:G3)</f>
        <v>376</v>
      </c>
      <c r="H8" s="139">
        <f>SUM(Jun!C3:G3)</f>
        <v>352</v>
      </c>
      <c r="I8" s="139">
        <f>SUM(Jul!C3:G3)</f>
        <v>342</v>
      </c>
      <c r="J8" s="139">
        <f>SUM(Aug!C3:G3)</f>
        <v>318</v>
      </c>
      <c r="K8" s="139">
        <f>SUM(Sep!C3:G3)</f>
        <v>390</v>
      </c>
      <c r="L8" s="139">
        <f>SUM(Oct!C3:G3)</f>
        <v>339</v>
      </c>
      <c r="M8" s="139">
        <f>SUM(Nov!C3:G3)</f>
        <v>310</v>
      </c>
      <c r="N8" s="139">
        <f>SUM(Dec!C3:G3)</f>
        <v>339</v>
      </c>
      <c r="O8" s="202">
        <f t="shared" ref="O8:O10" si="0">SUM(C8:N8)</f>
        <v>4125</v>
      </c>
      <c r="P8" s="139">
        <f>SUM('Jan20'!C3:G3)</f>
        <v>393</v>
      </c>
      <c r="Q8" s="139">
        <f>SUM('Feb20'!C3:G3)</f>
        <v>418</v>
      </c>
      <c r="R8" s="139">
        <f>SUM('Mar20'!C3:G3)</f>
        <v>433</v>
      </c>
      <c r="S8" s="139">
        <f>SUM('Apr20'!C3:G3)</f>
        <v>447</v>
      </c>
      <c r="T8" s="139">
        <f>SUM('May20'!C3:G3)</f>
        <v>488</v>
      </c>
      <c r="U8" s="139">
        <f>SUM('Jun20'!C3:G3)</f>
        <v>469</v>
      </c>
      <c r="V8" s="139">
        <f>SUM('Jul20'!C3:G3)</f>
        <v>0</v>
      </c>
      <c r="W8" s="139">
        <f>SUM('Aug20'!C3:G3)</f>
        <v>0</v>
      </c>
      <c r="X8" s="139">
        <f>SUM('Sep20'!C3:G3)</f>
        <v>0</v>
      </c>
      <c r="Y8" s="139">
        <f>SUM('Oct20'!C3:G3)</f>
        <v>0</v>
      </c>
      <c r="Z8" s="139">
        <f>SUM('Nov20'!C3:G3)</f>
        <v>0</v>
      </c>
      <c r="AA8" s="139">
        <f>SUM('Dec20'!C3:G3)</f>
        <v>0</v>
      </c>
      <c r="AB8" s="216">
        <f t="shared" ref="AB8:AB28" si="1">SUM(P8:AA8)</f>
        <v>2648</v>
      </c>
      <c r="AC8" s="230">
        <f t="shared" ref="AC8:AC10" si="2">O8+AB8</f>
        <v>6773</v>
      </c>
    </row>
    <row r="9" spans="1:29" ht="27" customHeight="1" x14ac:dyDescent="0.25">
      <c r="A9" s="254"/>
      <c r="B9" s="9" t="s">
        <v>24</v>
      </c>
      <c r="C9" s="139">
        <f>SUM(Jan!C4:G4)</f>
        <v>1</v>
      </c>
      <c r="D9" s="139">
        <f>SUM(Feb!C4:G4)</f>
        <v>6</v>
      </c>
      <c r="E9" s="139">
        <f>SUM(Mar!C4:G4)</f>
        <v>1</v>
      </c>
      <c r="F9" s="139">
        <f>SUM(Apr!C4:G4)</f>
        <v>8</v>
      </c>
      <c r="G9" s="139">
        <f>SUM(May!C4:G4)</f>
        <v>4</v>
      </c>
      <c r="H9" s="139">
        <f>SUM(Jun!C4:G4)</f>
        <v>2</v>
      </c>
      <c r="I9" s="139">
        <f>SUM(Jul!C4:G4)</f>
        <v>7</v>
      </c>
      <c r="J9" s="139">
        <f>SUM(Aug!C4:G4)</f>
        <v>4</v>
      </c>
      <c r="K9" s="139">
        <f>SUM(Sep!C4:G4)</f>
        <v>4</v>
      </c>
      <c r="L9" s="139">
        <f>SUM(Oct!C4:G4)</f>
        <v>3</v>
      </c>
      <c r="M9" s="139">
        <f>SUM(Nov!C4:G4)</f>
        <v>5</v>
      </c>
      <c r="N9" s="139">
        <f>SUM(Dec!C4:G4)</f>
        <v>0</v>
      </c>
      <c r="O9" s="202">
        <f t="shared" si="0"/>
        <v>45</v>
      </c>
      <c r="P9" s="139">
        <f>SUM('Jan20'!C4:G4)</f>
        <v>1</v>
      </c>
      <c r="Q9" s="139">
        <f>SUM('Feb20'!C4:G4)</f>
        <v>8</v>
      </c>
      <c r="R9" s="139">
        <f>SUM('Mar20'!C4:G4)</f>
        <v>2</v>
      </c>
      <c r="S9" s="139">
        <f>SUM('Apr20'!C4:G4)</f>
        <v>13</v>
      </c>
      <c r="T9" s="139">
        <f>SUM('May20'!C4:G4)</f>
        <v>15</v>
      </c>
      <c r="U9" s="139">
        <f>SUM('Jun20'!C4:G4)</f>
        <v>6</v>
      </c>
      <c r="V9" s="139">
        <f>SUM('Jul20'!C4:G4)</f>
        <v>0</v>
      </c>
      <c r="W9" s="139">
        <f>SUM('Aug20'!C4:G4)</f>
        <v>0</v>
      </c>
      <c r="X9" s="139">
        <f>SUM('Sep20'!C4:G4)</f>
        <v>0</v>
      </c>
      <c r="Y9" s="139">
        <f>SUM('Oct20'!C4:G4)</f>
        <v>0</v>
      </c>
      <c r="Z9" s="139">
        <f>SUM('Nov20'!C4:G4)</f>
        <v>0</v>
      </c>
      <c r="AA9" s="139">
        <f>SUM('Dec20'!C4:G4)</f>
        <v>0</v>
      </c>
      <c r="AB9" s="216">
        <f t="shared" si="1"/>
        <v>45</v>
      </c>
      <c r="AC9" s="230">
        <f t="shared" si="2"/>
        <v>90</v>
      </c>
    </row>
    <row r="10" spans="1:29" ht="27" customHeight="1" x14ac:dyDescent="0.25">
      <c r="A10" s="254"/>
      <c r="B10" s="11" t="s">
        <v>25</v>
      </c>
      <c r="C10" s="139">
        <f>SUM(Jan!C5:G5)</f>
        <v>83</v>
      </c>
      <c r="D10" s="139">
        <f>SUM(Feb!C5:G5)</f>
        <v>58</v>
      </c>
      <c r="E10" s="139">
        <f>SUM(Mar!C5:G5)</f>
        <v>87</v>
      </c>
      <c r="F10" s="139">
        <f>SUM(Apr!C5:G5)</f>
        <v>82</v>
      </c>
      <c r="G10" s="139">
        <f>SUM(May!C5:G5)</f>
        <v>84</v>
      </c>
      <c r="H10" s="139">
        <f>SUM(Jun!C5:G5)</f>
        <v>74</v>
      </c>
      <c r="I10" s="139">
        <f>SUM(Jul!C5:G5)</f>
        <v>79</v>
      </c>
      <c r="J10" s="139">
        <f>SUM(Aug!C5:G5)</f>
        <v>69</v>
      </c>
      <c r="K10" s="139">
        <f>SUM(Sep!C5:G5)</f>
        <v>73</v>
      </c>
      <c r="L10" s="139">
        <f>SUM(Oct!C5:G5)</f>
        <v>56</v>
      </c>
      <c r="M10" s="139">
        <f>SUM(Nov!C5:G5)</f>
        <v>68</v>
      </c>
      <c r="N10" s="139">
        <f>SUM(Dec!C5:G5)</f>
        <v>74</v>
      </c>
      <c r="O10" s="202">
        <f t="shared" si="0"/>
        <v>887</v>
      </c>
      <c r="P10" s="139">
        <f>SUM('Jan20'!C5:G5)</f>
        <v>68</v>
      </c>
      <c r="Q10" s="139">
        <f>SUM('Feb20'!C5:G5)</f>
        <v>73</v>
      </c>
      <c r="R10" s="139">
        <f>SUM('Mar20'!C5:G5)</f>
        <v>74</v>
      </c>
      <c r="S10" s="139">
        <f>SUM('Apr20'!C5:G5)</f>
        <v>80</v>
      </c>
      <c r="T10" s="139">
        <f>SUM('May20'!C5:G5)</f>
        <v>95</v>
      </c>
      <c r="U10" s="139">
        <f>SUM('Jun20'!C5:G5)</f>
        <v>96</v>
      </c>
      <c r="V10" s="139">
        <f>SUM('Jul20'!C5:G5)</f>
        <v>0</v>
      </c>
      <c r="W10" s="139">
        <f>SUM('Aug20'!C5:G5)</f>
        <v>0</v>
      </c>
      <c r="X10" s="139">
        <f>SUM('Sep20'!C5:G5)</f>
        <v>0</v>
      </c>
      <c r="Y10" s="139">
        <f>SUM('Oct20'!C5:G5)</f>
        <v>0</v>
      </c>
      <c r="Z10" s="139">
        <f>SUM('Nov20'!C5:G5)</f>
        <v>0</v>
      </c>
      <c r="AA10" s="139">
        <f>SUM('Dec20'!C5:G5)</f>
        <v>0</v>
      </c>
      <c r="AB10" s="216">
        <f t="shared" si="1"/>
        <v>486</v>
      </c>
      <c r="AC10" s="230">
        <f t="shared" si="2"/>
        <v>1373</v>
      </c>
    </row>
    <row r="11" spans="1:29" ht="27" customHeight="1" x14ac:dyDescent="0.25">
      <c r="A11" s="254"/>
      <c r="B11" s="133" t="s">
        <v>50</v>
      </c>
      <c r="C11" s="171">
        <f>SUM(Jan!C6:G6)</f>
        <v>447</v>
      </c>
      <c r="D11" s="171">
        <f>SUM(Feb!C6:G6)</f>
        <v>384</v>
      </c>
      <c r="E11" s="171">
        <f>SUM(Mar!C6:G6)</f>
        <v>450</v>
      </c>
      <c r="F11" s="171">
        <f>SUM(Apr!C6:G6)</f>
        <v>420</v>
      </c>
      <c r="G11" s="171">
        <f>SUM(May!C6:G6)</f>
        <v>470</v>
      </c>
      <c r="H11" s="171">
        <f>SUM(Jun!C6:G6)</f>
        <v>430</v>
      </c>
      <c r="I11" s="171">
        <f>SUM(Jul!C6:G6)</f>
        <v>434</v>
      </c>
      <c r="J11" s="171">
        <f>SUM(Aug!C6:G6)</f>
        <v>390</v>
      </c>
      <c r="K11" s="171">
        <f>SUM(Sep!C6:G6)</f>
        <v>471</v>
      </c>
      <c r="L11" s="171">
        <f>SUM(Oct!C6:G6)</f>
        <v>404</v>
      </c>
      <c r="M11" s="171">
        <f>SUM(Nov!C6:G6)</f>
        <v>388</v>
      </c>
      <c r="N11" s="171">
        <f>SUM(Dec!C6:G6)</f>
        <v>432</v>
      </c>
      <c r="O11" s="202">
        <f t="shared" ref="O11:O28" si="3">SUM(C11:N11)</f>
        <v>5120</v>
      </c>
      <c r="P11" s="171">
        <f>SUM('Jan20'!C6:G6)</f>
        <v>462</v>
      </c>
      <c r="Q11" s="171">
        <f>SUM('Feb20'!C6:G6)</f>
        <v>514</v>
      </c>
      <c r="R11" s="171">
        <f>SUM('Mar20'!C6:G6)</f>
        <v>512</v>
      </c>
      <c r="S11" s="171">
        <f>SUM('Apr20'!C6:G6)</f>
        <v>546</v>
      </c>
      <c r="T11" s="171">
        <f>SUM('May20'!C6:G6)</f>
        <v>603</v>
      </c>
      <c r="U11" s="171">
        <f>SUM('Jun20'!C6:G6)</f>
        <v>580</v>
      </c>
      <c r="V11" s="171">
        <f>SUM('Jul20'!C6:G6)</f>
        <v>0</v>
      </c>
      <c r="W11" s="171">
        <f>SUM('Aug20'!C6:G6)</f>
        <v>0</v>
      </c>
      <c r="X11" s="171">
        <f>SUM('Sep20'!C6:G6)</f>
        <v>0</v>
      </c>
      <c r="Y11" s="171">
        <f>SUM('Oct20'!C6:G6)</f>
        <v>0</v>
      </c>
      <c r="Z11" s="171">
        <f>SUM('Nov20'!C6:G6)</f>
        <v>0</v>
      </c>
      <c r="AA11" s="171">
        <f>SUM('Dec20'!C6:G6)</f>
        <v>0</v>
      </c>
      <c r="AB11" s="216">
        <f t="shared" si="1"/>
        <v>3217</v>
      </c>
      <c r="AC11" s="230">
        <f>O11+AB11</f>
        <v>8337</v>
      </c>
    </row>
    <row r="12" spans="1:29" ht="27" customHeight="1" thickBot="1" x14ac:dyDescent="0.3">
      <c r="A12" s="254"/>
      <c r="B12" s="9" t="s">
        <v>19</v>
      </c>
      <c r="C12" s="167">
        <f>SUM(Jan!C7:G7)</f>
        <v>429</v>
      </c>
      <c r="D12" s="167">
        <f>SUM(Feb!C7:G7)</f>
        <v>370</v>
      </c>
      <c r="E12" s="167">
        <f>SUM(Mar!C7:G7)</f>
        <v>438</v>
      </c>
      <c r="F12" s="169">
        <f>SUM(Apr!C7:G7)</f>
        <v>406</v>
      </c>
      <c r="G12" s="169">
        <f>SUM(May!C7:G7)</f>
        <v>461</v>
      </c>
      <c r="H12" s="169">
        <f>SUM(Jun!C7:G7)</f>
        <v>425</v>
      </c>
      <c r="I12" s="169">
        <f>SUM(Jul!C7:G7)</f>
        <v>422</v>
      </c>
      <c r="J12" s="169">
        <f>SUM(Aug!C7:G7)</f>
        <v>386</v>
      </c>
      <c r="K12" s="169">
        <f>SUM(Sep!C7:G7)</f>
        <v>463</v>
      </c>
      <c r="L12" s="169">
        <f>SUM(Oct!C7:G7)</f>
        <v>394</v>
      </c>
      <c r="M12" s="169">
        <f>SUM(Nov!C7:G7)</f>
        <v>378</v>
      </c>
      <c r="N12" s="170">
        <f>SUM(Dec!C7:G7)</f>
        <v>413</v>
      </c>
      <c r="O12" s="201">
        <f t="shared" si="3"/>
        <v>4985</v>
      </c>
      <c r="P12" s="139">
        <f>SUM('Jan20'!C7:G7)</f>
        <v>458</v>
      </c>
      <c r="Q12" s="139">
        <f>SUM('Feb20'!C7:G7)</f>
        <v>484</v>
      </c>
      <c r="R12" s="139">
        <f>SUM('Mar20'!C7:G7)</f>
        <v>506</v>
      </c>
      <c r="S12" s="139">
        <f>SUM('Apr20'!C7:G7)</f>
        <v>540</v>
      </c>
      <c r="T12" s="139">
        <f>SUM('May20'!C7:G7)</f>
        <v>593</v>
      </c>
      <c r="U12" s="139">
        <f>SUM('Jun20'!C7:G7)</f>
        <v>562</v>
      </c>
      <c r="V12" s="139">
        <f>SUM('Jul20'!C7:G7)</f>
        <v>0</v>
      </c>
      <c r="W12" s="139">
        <f>SUM('Aug20'!C7:G7)</f>
        <v>0</v>
      </c>
      <c r="X12" s="139">
        <f>SUM('Sep20'!C7:G7)</f>
        <v>0</v>
      </c>
      <c r="Y12" s="139">
        <f>SUM('Oct20'!C7:G7)</f>
        <v>0</v>
      </c>
      <c r="Z12" s="139">
        <f>SUM('Nov20'!C7:G7)</f>
        <v>0</v>
      </c>
      <c r="AA12" s="139">
        <f>SUM('Dec20'!C7:G7)</f>
        <v>0</v>
      </c>
      <c r="AB12" s="216">
        <f t="shared" si="1"/>
        <v>3143</v>
      </c>
      <c r="AC12" s="230">
        <f t="shared" ref="AC12:AC28" si="4">O12+AB12</f>
        <v>8128</v>
      </c>
    </row>
    <row r="13" spans="1:29" ht="27" customHeight="1" thickBot="1" x14ac:dyDescent="0.3">
      <c r="A13" s="254"/>
      <c r="B13" s="9" t="s">
        <v>20</v>
      </c>
      <c r="C13" s="139">
        <f>SUM(Jan!C8:G8)</f>
        <v>10</v>
      </c>
      <c r="D13" s="139">
        <f>SUM(Feb!C8:G8)</f>
        <v>7</v>
      </c>
      <c r="E13" s="139">
        <f>SUM(Mar!C8:G8)</f>
        <v>7</v>
      </c>
      <c r="F13" s="14">
        <f>SUM(Apr!C8:G8)</f>
        <v>5</v>
      </c>
      <c r="G13" s="14">
        <f>SUM(May!C8:G8)</f>
        <v>3</v>
      </c>
      <c r="H13" s="14">
        <f>SUM(Jun!C8:G8)</f>
        <v>3</v>
      </c>
      <c r="I13" s="14">
        <f>SUM(Jul!C8:G8)</f>
        <v>12</v>
      </c>
      <c r="J13" s="14">
        <f>SUM(Aug!C8:G8)</f>
        <v>5</v>
      </c>
      <c r="K13" s="14">
        <f>SUM(Sep!C8:G8)</f>
        <v>8</v>
      </c>
      <c r="L13" s="14">
        <f>SUM(Oct!C8:G8)</f>
        <v>10</v>
      </c>
      <c r="M13" s="14">
        <f>SUM(Nov!C8:G8)</f>
        <v>10</v>
      </c>
      <c r="N13" s="15">
        <f>SUM(Dec!C8:G8)</f>
        <v>19</v>
      </c>
      <c r="O13" s="201">
        <f t="shared" si="3"/>
        <v>99</v>
      </c>
      <c r="P13" s="139">
        <f>SUM('Jan20'!C8:G8)</f>
        <v>4</v>
      </c>
      <c r="Q13" s="139">
        <f>SUM('Feb20'!C8:G8)</f>
        <v>30</v>
      </c>
      <c r="R13" s="139">
        <f>SUM('Mar20'!C8:G8)</f>
        <v>6</v>
      </c>
      <c r="S13" s="139">
        <f>SUM('Apr20'!C8:G8)</f>
        <v>6</v>
      </c>
      <c r="T13" s="139">
        <f>SUM('May20'!C8:G8)</f>
        <v>10</v>
      </c>
      <c r="U13" s="139">
        <f>SUM('Jun20'!C8:G8)</f>
        <v>18</v>
      </c>
      <c r="V13" s="139">
        <f>SUM('Jul20'!C8:G8)</f>
        <v>0</v>
      </c>
      <c r="W13" s="139">
        <f>SUM('Aug20'!C8:G8)</f>
        <v>0</v>
      </c>
      <c r="X13" s="139">
        <f>SUM('Sep20'!C8:G8)</f>
        <v>0</v>
      </c>
      <c r="Y13" s="139">
        <f>SUM('Oct20'!C8:G8)</f>
        <v>0</v>
      </c>
      <c r="Z13" s="139">
        <f>SUM('Nov20'!C8:G8)</f>
        <v>0</v>
      </c>
      <c r="AA13" s="139">
        <f>SUM('Dec20'!C8:G8)</f>
        <v>0</v>
      </c>
      <c r="AB13" s="216">
        <f t="shared" si="1"/>
        <v>74</v>
      </c>
      <c r="AC13" s="230">
        <f t="shared" si="4"/>
        <v>173</v>
      </c>
    </row>
    <row r="14" spans="1:29" ht="27" customHeight="1" thickBot="1" x14ac:dyDescent="0.3">
      <c r="A14" s="254"/>
      <c r="B14" s="136" t="s">
        <v>22</v>
      </c>
      <c r="C14" s="138">
        <f>SUM(Jan!C9:G9)</f>
        <v>8</v>
      </c>
      <c r="D14" s="138">
        <f>SUM(Feb!C9:G9)</f>
        <v>10</v>
      </c>
      <c r="E14" s="138">
        <f>SUM(Mar!C9:G9)</f>
        <v>11</v>
      </c>
      <c r="F14" s="134">
        <f>SUM(Apr!C9:G9)</f>
        <v>4</v>
      </c>
      <c r="G14" s="134">
        <f>SUM(May!C9:G9)</f>
        <v>9</v>
      </c>
      <c r="H14" s="134">
        <f>SUM(Jun!C9:G9)</f>
        <v>5</v>
      </c>
      <c r="I14" s="134">
        <f>SUM(Jul!C9:G9)</f>
        <v>6</v>
      </c>
      <c r="J14" s="134">
        <f>SUM(Aug!C9:G9)</f>
        <v>11</v>
      </c>
      <c r="K14" s="134">
        <f>SUM(Sep!C9:G9)</f>
        <v>6</v>
      </c>
      <c r="L14" s="134">
        <f>SUM(Oct!C9:G9)</f>
        <v>6</v>
      </c>
      <c r="M14" s="134">
        <f>SUM(Nov!C9:G9)</f>
        <v>10</v>
      </c>
      <c r="N14" s="135">
        <f>SUM(Dec!C9:G9)</f>
        <v>11</v>
      </c>
      <c r="O14" s="201">
        <f t="shared" si="3"/>
        <v>97</v>
      </c>
      <c r="P14" s="171">
        <f>SUM('Jan20'!C9:G9)</f>
        <v>9</v>
      </c>
      <c r="Q14" s="171">
        <f>SUM('Feb20'!C9:G9)</f>
        <v>9</v>
      </c>
      <c r="R14" s="171">
        <f>SUM('Mar20'!C9:G9)</f>
        <v>12</v>
      </c>
      <c r="S14" s="171">
        <f>SUM('Apr20'!C9:G9)</f>
        <v>13</v>
      </c>
      <c r="T14" s="171">
        <f>SUM('May20'!C9:G9)</f>
        <v>8</v>
      </c>
      <c r="U14" s="171">
        <f>SUM('Jun20'!C9:G9)</f>
        <v>15</v>
      </c>
      <c r="V14" s="171">
        <f>SUM('Jul20'!C9:G9)</f>
        <v>0</v>
      </c>
      <c r="W14" s="171">
        <f>SUM('Aug20'!C9:G9)</f>
        <v>0</v>
      </c>
      <c r="X14" s="171">
        <f>SUM('Sep20'!C9:G9)</f>
        <v>0</v>
      </c>
      <c r="Y14" s="171">
        <f>SUM('Oct20'!C9:G9)</f>
        <v>0</v>
      </c>
      <c r="Z14" s="171">
        <f>SUM('Nov20'!C9:G9)</f>
        <v>0</v>
      </c>
      <c r="AA14" s="171">
        <f>SUM('Dec20'!C9:G9)</f>
        <v>0</v>
      </c>
      <c r="AB14" s="216">
        <f t="shared" si="1"/>
        <v>66</v>
      </c>
      <c r="AC14" s="230">
        <f t="shared" si="4"/>
        <v>163</v>
      </c>
    </row>
    <row r="15" spans="1:29" ht="27" customHeight="1" thickBot="1" x14ac:dyDescent="0.3">
      <c r="A15" s="254"/>
      <c r="B15" s="9" t="s">
        <v>26</v>
      </c>
      <c r="C15" s="139">
        <f>SUM(Jan!C10:G10)</f>
        <v>4</v>
      </c>
      <c r="D15" s="139">
        <f>SUM(Feb!C10:G10)</f>
        <v>6</v>
      </c>
      <c r="E15" s="139">
        <f>SUM(Mar!C10:G10)</f>
        <v>5</v>
      </c>
      <c r="F15" s="14">
        <f>SUM(Apr!C10:G10)</f>
        <v>2</v>
      </c>
      <c r="G15" s="14">
        <f>SUM(May!C10:G10)</f>
        <v>6</v>
      </c>
      <c r="H15" s="14">
        <f>SUM(Jun!C10:G10)</f>
        <v>2</v>
      </c>
      <c r="I15" s="14">
        <f>SUM(Jul!C10:G10)</f>
        <v>4</v>
      </c>
      <c r="J15" s="14">
        <f>SUM(Aug!C10:G10)</f>
        <v>8</v>
      </c>
      <c r="K15" s="14">
        <f>SUM(Sep!C10:G10)</f>
        <v>3</v>
      </c>
      <c r="L15" s="14">
        <f>SUM(Oct!C10:G10)</f>
        <v>2</v>
      </c>
      <c r="M15" s="14">
        <f>SUM(Nov!C10:G10)</f>
        <v>6</v>
      </c>
      <c r="N15" s="15">
        <f>SUM(Dec!C10:G10)</f>
        <v>5</v>
      </c>
      <c r="O15" s="201">
        <f t="shared" si="3"/>
        <v>53</v>
      </c>
      <c r="P15" s="139">
        <f>SUM('Jan20'!C10:G10)</f>
        <v>4</v>
      </c>
      <c r="Q15" s="139">
        <f>SUM('Feb20'!C10:G10)</f>
        <v>5</v>
      </c>
      <c r="R15" s="139">
        <f>SUM('Mar20'!C10:G10)</f>
        <v>5</v>
      </c>
      <c r="S15" s="139">
        <f>SUM('Apr20'!C10:G10)</f>
        <v>9</v>
      </c>
      <c r="T15" s="139">
        <f>SUM('May20'!C10:G10)</f>
        <v>6</v>
      </c>
      <c r="U15" s="139">
        <f>SUM('Jun20'!C10:G10)</f>
        <v>13</v>
      </c>
      <c r="V15" s="139">
        <f>SUM('Jul20'!C10:G10)</f>
        <v>0</v>
      </c>
      <c r="W15" s="139">
        <f>SUM('Aug20'!C10:G10)</f>
        <v>0</v>
      </c>
      <c r="X15" s="139">
        <f>SUM('Sep20'!C10:G10)</f>
        <v>0</v>
      </c>
      <c r="Y15" s="139">
        <f>SUM('Oct20'!C10:G10)</f>
        <v>0</v>
      </c>
      <c r="Z15" s="139">
        <f>SUM('Nov20'!C10:G10)</f>
        <v>0</v>
      </c>
      <c r="AA15" s="139">
        <f>SUM('Dec20'!C10:G10)</f>
        <v>0</v>
      </c>
      <c r="AB15" s="216">
        <f t="shared" si="1"/>
        <v>42</v>
      </c>
      <c r="AC15" s="230">
        <f t="shared" si="4"/>
        <v>95</v>
      </c>
    </row>
    <row r="16" spans="1:29" ht="27" customHeight="1" thickBot="1" x14ac:dyDescent="0.3">
      <c r="A16" s="254"/>
      <c r="B16" s="10" t="s">
        <v>27</v>
      </c>
      <c r="C16" s="139">
        <f>SUM(Jan!C11:G11)</f>
        <v>4</v>
      </c>
      <c r="D16" s="139">
        <f>SUM(Feb!C11:G11)</f>
        <v>4</v>
      </c>
      <c r="E16" s="139">
        <f>SUM(Mar!C11:G11)</f>
        <v>6</v>
      </c>
      <c r="F16" s="14">
        <f>SUM(Apr!C11:G11)</f>
        <v>2</v>
      </c>
      <c r="G16" s="14">
        <f>SUM(May!C11:G11)</f>
        <v>3</v>
      </c>
      <c r="H16" s="14">
        <f>SUM(Jun!C11:G11)</f>
        <v>3</v>
      </c>
      <c r="I16" s="14">
        <f>SUM(Jul!C11:G11)</f>
        <v>2</v>
      </c>
      <c r="J16" s="14">
        <f>SUM(Aug!C11:G11)</f>
        <v>3</v>
      </c>
      <c r="K16" s="14">
        <f>SUM(Sep!C11:G11)</f>
        <v>3</v>
      </c>
      <c r="L16" s="14">
        <f>SUM(Oct!C11:G11)</f>
        <v>4</v>
      </c>
      <c r="M16" s="14">
        <f>SUM(Nov!C11:G11)</f>
        <v>4</v>
      </c>
      <c r="N16" s="15">
        <f>SUM(Dec!C11:G11)</f>
        <v>6</v>
      </c>
      <c r="O16" s="201">
        <f t="shared" si="3"/>
        <v>44</v>
      </c>
      <c r="P16" s="139">
        <f>SUM('Jan20'!C11:G11)</f>
        <v>5</v>
      </c>
      <c r="Q16" s="139">
        <f>SUM('Feb20'!C11:G11)</f>
        <v>4</v>
      </c>
      <c r="R16" s="139">
        <f>SUM('Mar20'!C11:G11)</f>
        <v>7</v>
      </c>
      <c r="S16" s="139">
        <f>SUM('Apr20'!C11:G11)</f>
        <v>4</v>
      </c>
      <c r="T16" s="139">
        <f>SUM('May20'!C11:G11)</f>
        <v>2</v>
      </c>
      <c r="U16" s="139">
        <f>SUM('Jun20'!C11:G11)</f>
        <v>2</v>
      </c>
      <c r="V16" s="139">
        <f>SUM('Jul20'!C11:G11)</f>
        <v>0</v>
      </c>
      <c r="W16" s="139">
        <f>SUM('Aug20'!C11:G11)</f>
        <v>0</v>
      </c>
      <c r="X16" s="139">
        <f>SUM('Sep20'!C11:G11)</f>
        <v>0</v>
      </c>
      <c r="Y16" s="139">
        <f>SUM('Oct20'!C11:G11)</f>
        <v>0</v>
      </c>
      <c r="Z16" s="139">
        <f>SUM('Nov20'!C11:G11)</f>
        <v>0</v>
      </c>
      <c r="AA16" s="139">
        <f>SUM('Dec20'!C11:G11)</f>
        <v>0</v>
      </c>
      <c r="AB16" s="216">
        <f t="shared" si="1"/>
        <v>24</v>
      </c>
      <c r="AC16" s="230">
        <f t="shared" si="4"/>
        <v>68</v>
      </c>
    </row>
    <row r="17" spans="1:29" ht="27" customHeight="1" thickBot="1" x14ac:dyDescent="0.3">
      <c r="A17" s="254"/>
      <c r="B17" s="136" t="s">
        <v>21</v>
      </c>
      <c r="C17" s="138">
        <f>SUM(Jan!C12:G12)</f>
        <v>439</v>
      </c>
      <c r="D17" s="138">
        <f>SUM(Feb!C12:G12)</f>
        <v>374</v>
      </c>
      <c r="E17" s="138">
        <f>SUM(Mar!C12:G12)</f>
        <v>441</v>
      </c>
      <c r="F17" s="134">
        <f>SUM(Apr!C12:G12)</f>
        <v>416</v>
      </c>
      <c r="G17" s="134">
        <f>SUM(May!C12:G12)</f>
        <v>461</v>
      </c>
      <c r="H17" s="134">
        <f>SUM(Jun!C12:G12)</f>
        <v>425</v>
      </c>
      <c r="I17" s="134">
        <f>SUM(Jul!C12:G12)</f>
        <v>428</v>
      </c>
      <c r="J17" s="134">
        <f>SUM(Aug!C12:G12)</f>
        <v>379</v>
      </c>
      <c r="K17" s="134">
        <f>SUM(Sep!C12:G12)</f>
        <v>465</v>
      </c>
      <c r="L17" s="134">
        <f>SUM(Oct!C12:G12)</f>
        <v>381</v>
      </c>
      <c r="M17" s="134">
        <f>SUM(Nov!C12:G12)</f>
        <v>378</v>
      </c>
      <c r="N17" s="135">
        <f>SUM(Dec!C12:G12)</f>
        <v>421</v>
      </c>
      <c r="O17" s="201">
        <f t="shared" si="3"/>
        <v>5008</v>
      </c>
      <c r="P17" s="171">
        <f>SUM('Jan20'!C12:G12)</f>
        <v>453</v>
      </c>
      <c r="Q17" s="171">
        <f>SUM('Feb20'!C12:G12)</f>
        <v>505</v>
      </c>
      <c r="R17" s="171">
        <f>SUM('Mar20'!C12:G12)</f>
        <v>500</v>
      </c>
      <c r="S17" s="171">
        <f>SUM('Apr20'!C12:G12)</f>
        <v>533</v>
      </c>
      <c r="T17" s="171">
        <f>SUM('May20'!C12:G12)</f>
        <v>595</v>
      </c>
      <c r="U17" s="171">
        <f>SUM('Jun20'!C12:G12)</f>
        <v>565</v>
      </c>
      <c r="V17" s="171">
        <f>SUM('Jul20'!C12:G12)</f>
        <v>0</v>
      </c>
      <c r="W17" s="171">
        <f>SUM('Aug20'!C12:G12)</f>
        <v>0</v>
      </c>
      <c r="X17" s="171">
        <f>SUM('Sep20'!C12:G12)</f>
        <v>0</v>
      </c>
      <c r="Y17" s="171">
        <f>SUM('Oct20'!C12:G12)</f>
        <v>0</v>
      </c>
      <c r="Z17" s="171">
        <f>SUM('Nov20'!C12:G12)</f>
        <v>0</v>
      </c>
      <c r="AA17" s="171">
        <f>SUM('Dec20'!C12:G12)</f>
        <v>0</v>
      </c>
      <c r="AB17" s="216">
        <f t="shared" si="1"/>
        <v>3151</v>
      </c>
      <c r="AC17" s="230">
        <f t="shared" si="4"/>
        <v>8159</v>
      </c>
    </row>
    <row r="18" spans="1:29" ht="27" customHeight="1" thickBot="1" x14ac:dyDescent="0.3">
      <c r="A18" s="254"/>
      <c r="B18" s="141" t="s">
        <v>31</v>
      </c>
      <c r="C18" s="139">
        <f>SUM(Jan!C13:G13)</f>
        <v>0</v>
      </c>
      <c r="D18" s="139">
        <f>SUM(Feb!C13:G13)</f>
        <v>0</v>
      </c>
      <c r="E18" s="139">
        <f>SUM(Mar!C13:G13)</f>
        <v>0</v>
      </c>
      <c r="F18" s="14">
        <f>SUM(Apr!C13:G13)</f>
        <v>0</v>
      </c>
      <c r="G18" s="14">
        <f>SUM(May!C13:G13)</f>
        <v>0</v>
      </c>
      <c r="H18" s="14">
        <f>SUM(Jun!C13:G13)</f>
        <v>0</v>
      </c>
      <c r="I18" s="14">
        <f>SUM(Jul!C13:G13)</f>
        <v>407</v>
      </c>
      <c r="J18" s="14">
        <f>SUM(Aug!C13:G13)</f>
        <v>0</v>
      </c>
      <c r="K18" s="14">
        <f>SUM(Sep!C13:G13)</f>
        <v>456</v>
      </c>
      <c r="L18" s="14">
        <f>SUM(Oct!C13:G13)</f>
        <v>364</v>
      </c>
      <c r="M18" s="14">
        <f>SUM(Nov!C13:G13)</f>
        <v>362</v>
      </c>
      <c r="N18" s="15">
        <f>SUM(Dec!C13:G13)</f>
        <v>407</v>
      </c>
      <c r="O18" s="201">
        <f t="shared" si="3"/>
        <v>1996</v>
      </c>
      <c r="P18" s="139">
        <f>SUM('Jan20'!C13:G13)</f>
        <v>437</v>
      </c>
      <c r="Q18" s="139">
        <f>SUM('Feb20'!C13:G13)</f>
        <v>493</v>
      </c>
      <c r="R18" s="139">
        <f>SUM('Mar20'!C13:G13)</f>
        <v>482</v>
      </c>
      <c r="S18" s="139">
        <f>SUM('Apr20'!C13:G13)</f>
        <v>517</v>
      </c>
      <c r="T18" s="139">
        <f>SUM('May20'!C13:G13)</f>
        <v>575</v>
      </c>
      <c r="U18" s="139">
        <f>SUM('Jun20'!C13:G13)</f>
        <v>547</v>
      </c>
      <c r="V18" s="139">
        <f>SUM('Jul20'!C13:G13)</f>
        <v>0</v>
      </c>
      <c r="W18" s="139">
        <f>SUM('Aug20'!C13:G13)</f>
        <v>0</v>
      </c>
      <c r="X18" s="139">
        <f>SUM('Sep20'!C13:G13)</f>
        <v>0</v>
      </c>
      <c r="Y18" s="139">
        <f>SUM('Oct20'!C13:G13)</f>
        <v>0</v>
      </c>
      <c r="Z18" s="139">
        <f>SUM('Nov20'!C13:G13)</f>
        <v>0</v>
      </c>
      <c r="AA18" s="139">
        <f>SUM('Dec20'!C13:G13)</f>
        <v>0</v>
      </c>
      <c r="AB18" s="216">
        <f t="shared" si="1"/>
        <v>3051</v>
      </c>
      <c r="AC18" s="230">
        <f t="shared" si="4"/>
        <v>5047</v>
      </c>
    </row>
    <row r="19" spans="1:29" ht="27" customHeight="1" thickBot="1" x14ac:dyDescent="0.3">
      <c r="A19" s="254"/>
      <c r="B19" s="142" t="s">
        <v>32</v>
      </c>
      <c r="C19" s="139">
        <f>SUM(Jan!C14:G14)</f>
        <v>0</v>
      </c>
      <c r="D19" s="139">
        <f>SUM(Feb!C14:G14)</f>
        <v>0</v>
      </c>
      <c r="E19" s="139">
        <f>SUM(Mar!C14:G14)</f>
        <v>0</v>
      </c>
      <c r="F19" s="14">
        <f>SUM(Apr!C14:G14)</f>
        <v>0</v>
      </c>
      <c r="G19" s="14">
        <f>SUM(May!C14:G14)</f>
        <v>0</v>
      </c>
      <c r="H19" s="14">
        <f>SUM(Jun!C14:G14)</f>
        <v>0</v>
      </c>
      <c r="I19" s="14">
        <f>SUM(Jul!C14:G14)</f>
        <v>21</v>
      </c>
      <c r="J19" s="14">
        <f>SUM(Aug!C14:G14)</f>
        <v>0</v>
      </c>
      <c r="K19" s="14">
        <f>SUM(Sep!C14:G14)</f>
        <v>9</v>
      </c>
      <c r="L19" s="14">
        <f>SUM(Oct!C14:G14)</f>
        <v>17</v>
      </c>
      <c r="M19" s="14">
        <f>SUM(Nov!C14:G14)</f>
        <v>16</v>
      </c>
      <c r="N19" s="15">
        <f>SUM(Dec!C14:G14)</f>
        <v>14</v>
      </c>
      <c r="O19" s="201">
        <f t="shared" si="3"/>
        <v>77</v>
      </c>
      <c r="P19" s="139">
        <f>SUM('Jan20'!C14:G14)</f>
        <v>16</v>
      </c>
      <c r="Q19" s="139">
        <f>SUM('Feb20'!C14:G14)</f>
        <v>12</v>
      </c>
      <c r="R19" s="139">
        <f>SUM('Mar20'!C14:G14)</f>
        <v>18</v>
      </c>
      <c r="S19" s="139">
        <f>SUM('Apr20'!C14:G14)</f>
        <v>16</v>
      </c>
      <c r="T19" s="139">
        <f>SUM('May20'!C14:G14)</f>
        <v>20</v>
      </c>
      <c r="U19" s="139">
        <f>SUM('Jun20'!C14:G14)</f>
        <v>18</v>
      </c>
      <c r="V19" s="139">
        <f>SUM('Jul20'!C14:G14)</f>
        <v>0</v>
      </c>
      <c r="W19" s="139">
        <f>SUM('Aug20'!C14:G14)</f>
        <v>0</v>
      </c>
      <c r="X19" s="139">
        <f>SUM('Sep20'!C14:G14)</f>
        <v>0</v>
      </c>
      <c r="Y19" s="139">
        <f>SUM('Oct20'!C14:G14)</f>
        <v>0</v>
      </c>
      <c r="Z19" s="139">
        <f>SUM('Nov20'!C14:G14)</f>
        <v>0</v>
      </c>
      <c r="AA19" s="139">
        <f>SUM('Dec20'!C14:G14)</f>
        <v>0</v>
      </c>
      <c r="AB19" s="216">
        <f t="shared" si="1"/>
        <v>100</v>
      </c>
      <c r="AC19" s="230">
        <f t="shared" si="4"/>
        <v>177</v>
      </c>
    </row>
    <row r="20" spans="1:29" ht="27" customHeight="1" thickBot="1" x14ac:dyDescent="0.3">
      <c r="A20" s="254"/>
      <c r="B20" s="142" t="s">
        <v>73</v>
      </c>
      <c r="C20" s="139">
        <f>SUM(Jan!C15:G15)</f>
        <v>0</v>
      </c>
      <c r="D20" s="139">
        <f>SUM(Feb!C15:G15)</f>
        <v>0</v>
      </c>
      <c r="E20" s="139">
        <f>SUM(Mar!C15:G15)</f>
        <v>0</v>
      </c>
      <c r="F20" s="14">
        <f>SUM(Apr!C15:G15)</f>
        <v>0</v>
      </c>
      <c r="G20" s="14">
        <f>SUM(May!C15:G15)</f>
        <v>0</v>
      </c>
      <c r="H20" s="14">
        <f>SUM(Jun!C15:G15)</f>
        <v>0</v>
      </c>
      <c r="I20" s="14">
        <f>SUM(Jul!C15:G15)</f>
        <v>0</v>
      </c>
      <c r="J20" s="14">
        <f>SUM(Aug!C15:G15)</f>
        <v>0</v>
      </c>
      <c r="K20" s="14">
        <f>SUM(Sep!C15:G15)</f>
        <v>0</v>
      </c>
      <c r="L20" s="14">
        <f>SUM(Oct!C15:G15)</f>
        <v>0</v>
      </c>
      <c r="M20" s="14">
        <f>SUM(Nov!C15:G15)</f>
        <v>0</v>
      </c>
      <c r="N20" s="15">
        <f>SUM(Dec!C15:G15)</f>
        <v>0</v>
      </c>
      <c r="O20" s="201">
        <f t="shared" si="3"/>
        <v>0</v>
      </c>
      <c r="P20" s="139">
        <f>SUM('Jan20'!C15:G15)</f>
        <v>0</v>
      </c>
      <c r="Q20" s="139">
        <f>SUM('Feb20'!C15:G15)</f>
        <v>0</v>
      </c>
      <c r="R20" s="139">
        <f>SUM('Mar20'!C15:G15)</f>
        <v>0</v>
      </c>
      <c r="S20" s="139">
        <f>SUM('Apr20'!C15:G15)</f>
        <v>0</v>
      </c>
      <c r="T20" s="139">
        <f>SUM('May20'!C15:G15)</f>
        <v>0</v>
      </c>
      <c r="U20" s="139">
        <f>SUM('Jun20'!C15:G15)</f>
        <v>0</v>
      </c>
      <c r="V20" s="139">
        <f>SUM('Jul20'!C15:G15)</f>
        <v>0</v>
      </c>
      <c r="W20" s="139">
        <f>SUM('Aug20'!C15:G15)</f>
        <v>0</v>
      </c>
      <c r="X20" s="139">
        <f>SUM('Sep20'!C15:G15)</f>
        <v>0</v>
      </c>
      <c r="Y20" s="139">
        <f>SUM('Oct20'!C15:G15)</f>
        <v>0</v>
      </c>
      <c r="Z20" s="139">
        <f>SUM('Nov20'!C15:G15)</f>
        <v>0</v>
      </c>
      <c r="AA20" s="139">
        <f>SUM('Dec20'!C15:G15)</f>
        <v>0</v>
      </c>
      <c r="AB20" s="216">
        <f t="shared" si="1"/>
        <v>0</v>
      </c>
      <c r="AC20" s="230">
        <f t="shared" si="4"/>
        <v>0</v>
      </c>
    </row>
    <row r="21" spans="1:29" ht="27" customHeight="1" thickBot="1" x14ac:dyDescent="0.3">
      <c r="A21" s="254"/>
      <c r="B21" s="143" t="s">
        <v>74</v>
      </c>
      <c r="C21" s="139">
        <f>SUM(Jan!C16:G16)</f>
        <v>410</v>
      </c>
      <c r="D21" s="139">
        <f>SUM(Feb!C16:G16)</f>
        <v>333</v>
      </c>
      <c r="E21" s="139">
        <f>SUM(Mar!C16:G16)</f>
        <v>353</v>
      </c>
      <c r="F21" s="14">
        <f>SUM(Apr!C16:G16)</f>
        <v>398</v>
      </c>
      <c r="G21" s="14">
        <f>SUM(May!C16:G16)</f>
        <v>410</v>
      </c>
      <c r="H21" s="14">
        <f>SUM(Jun!C16:G16)</f>
        <v>394</v>
      </c>
      <c r="I21" s="14">
        <f>SUM(Jul!C16:G16)</f>
        <v>375</v>
      </c>
      <c r="J21" s="14">
        <f>SUM(Aug!C16:G16)</f>
        <v>337</v>
      </c>
      <c r="K21" s="14">
        <f>SUM(Sep!C16:G16)</f>
        <v>420</v>
      </c>
      <c r="L21" s="14">
        <f>SUM(Oct!C16:G16)</f>
        <v>362</v>
      </c>
      <c r="M21" s="14">
        <f>SUM(Nov!C16:G16)</f>
        <v>326</v>
      </c>
      <c r="N21" s="15">
        <f>SUM(Dec!C16:G16)</f>
        <v>379</v>
      </c>
      <c r="O21" s="201">
        <f t="shared" si="3"/>
        <v>4497</v>
      </c>
      <c r="P21" s="139">
        <f>SUM('Jan20'!C16:G16)</f>
        <v>412</v>
      </c>
      <c r="Q21" s="139">
        <f>SUM('Feb20'!C16:G16)</f>
        <v>426</v>
      </c>
      <c r="R21" s="139">
        <f>SUM('Mar20'!C16:G16)</f>
        <v>440</v>
      </c>
      <c r="S21" s="139">
        <f>SUM('Apr20'!C16:G16)</f>
        <v>489</v>
      </c>
      <c r="T21" s="139">
        <f>SUM('May20'!C16:G16)</f>
        <v>539</v>
      </c>
      <c r="U21" s="139">
        <f>SUM('Jun20'!C16:G16)</f>
        <v>526</v>
      </c>
      <c r="V21" s="139">
        <f>SUM('Jul20'!C16:G16)</f>
        <v>0</v>
      </c>
      <c r="W21" s="139">
        <f>SUM('Aug20'!C16:G16)</f>
        <v>0</v>
      </c>
      <c r="X21" s="139">
        <f>SUM('Sep20'!C16:G16)</f>
        <v>0</v>
      </c>
      <c r="Y21" s="139">
        <f>SUM('Oct20'!C16:G16)</f>
        <v>0</v>
      </c>
      <c r="Z21" s="139">
        <f>SUM('Nov20'!C16:G16)</f>
        <v>0</v>
      </c>
      <c r="AA21" s="139">
        <f>SUM('Dec20'!C16:G16)</f>
        <v>0</v>
      </c>
      <c r="AB21" s="216">
        <f t="shared" si="1"/>
        <v>2832</v>
      </c>
      <c r="AC21" s="230">
        <f t="shared" si="4"/>
        <v>7329</v>
      </c>
    </row>
    <row r="22" spans="1:29" ht="27" customHeight="1" thickBot="1" x14ac:dyDescent="0.3">
      <c r="A22" s="254"/>
      <c r="B22" s="143" t="s">
        <v>67</v>
      </c>
      <c r="C22" s="139">
        <f>SUM(Jan!C17:G17)</f>
        <v>29</v>
      </c>
      <c r="D22" s="139">
        <f>SUM(Feb!C17:G17)</f>
        <v>41</v>
      </c>
      <c r="E22" s="139">
        <f>SUM(Mar!C17:G17)</f>
        <v>63</v>
      </c>
      <c r="F22" s="14">
        <f>SUM(Apr!C17:G17)</f>
        <v>63</v>
      </c>
      <c r="G22" s="14">
        <f>SUM(May!C17:G17)</f>
        <v>51</v>
      </c>
      <c r="H22" s="14">
        <f>SUM(Jun!C17:G17)</f>
        <v>31</v>
      </c>
      <c r="I22" s="14">
        <f>SUM(Jul!C17:G17)</f>
        <v>53</v>
      </c>
      <c r="J22" s="14">
        <f>SUM(Aug!C17:G17)</f>
        <v>54</v>
      </c>
      <c r="K22" s="14">
        <f>SUM(Sep!C17:G17)</f>
        <v>45</v>
      </c>
      <c r="L22" s="14">
        <f>SUM(Oct!C17:G17)</f>
        <v>19</v>
      </c>
      <c r="M22" s="14">
        <f>SUM(Nov!C17:G17)</f>
        <v>52</v>
      </c>
      <c r="N22" s="15">
        <f>SUM(Dec!C17:G17)</f>
        <v>42</v>
      </c>
      <c r="O22" s="201">
        <f t="shared" si="3"/>
        <v>543</v>
      </c>
      <c r="P22" s="139">
        <f>SUM('Jan20'!C17:G17)</f>
        <v>41</v>
      </c>
      <c r="Q22" s="139">
        <f>SUM('Feb20'!C17:G17)</f>
        <v>79</v>
      </c>
      <c r="R22" s="139">
        <f>SUM('Mar20'!C17:G17)</f>
        <v>60</v>
      </c>
      <c r="S22" s="139">
        <f>SUM('Apr20'!C17:G17)</f>
        <v>44</v>
      </c>
      <c r="T22" s="139">
        <f>SUM('May20'!C17:G17)</f>
        <v>56</v>
      </c>
      <c r="U22" s="139">
        <f>SUM('Jun20'!C17:G17)</f>
        <v>54</v>
      </c>
      <c r="V22" s="139">
        <f>SUM('Jul20'!C17:G17)</f>
        <v>0</v>
      </c>
      <c r="W22" s="139">
        <f>SUM('Aug20'!C17:G17)</f>
        <v>0</v>
      </c>
      <c r="X22" s="139">
        <f>SUM('Sep20'!C17:G17)</f>
        <v>0</v>
      </c>
      <c r="Y22" s="139">
        <f>SUM('Oct20'!C17:G17)</f>
        <v>0</v>
      </c>
      <c r="Z22" s="139">
        <f>SUM('Nov20'!C17:G17)</f>
        <v>0</v>
      </c>
      <c r="AA22" s="139">
        <f>SUM('Dec20'!C17:G17)</f>
        <v>0</v>
      </c>
      <c r="AB22" s="216">
        <f t="shared" si="1"/>
        <v>334</v>
      </c>
      <c r="AC22" s="230">
        <f t="shared" si="4"/>
        <v>877</v>
      </c>
    </row>
    <row r="23" spans="1:29" ht="27" customHeight="1" thickBot="1" x14ac:dyDescent="0.3">
      <c r="A23" s="254"/>
      <c r="B23" s="143" t="s">
        <v>75</v>
      </c>
      <c r="C23" s="139">
        <f>SUM(Jan!C18:G18)</f>
        <v>0</v>
      </c>
      <c r="D23" s="139">
        <f>SUM(Feb!C18:G18)</f>
        <v>0</v>
      </c>
      <c r="E23" s="139">
        <f>SUM(Mar!C18:G18)</f>
        <v>0</v>
      </c>
      <c r="F23" s="14">
        <f>SUM(Apr!C18:G18)</f>
        <v>0</v>
      </c>
      <c r="G23" s="14">
        <f>SUM(May!C18:G18)</f>
        <v>0</v>
      </c>
      <c r="H23" s="14">
        <f>SUM(Jun!C18:G18)</f>
        <v>0</v>
      </c>
      <c r="I23" s="14">
        <f>SUM(Jul!C18:G18)</f>
        <v>0</v>
      </c>
      <c r="J23" s="14">
        <f>SUM(Aug!C18:G18)</f>
        <v>3</v>
      </c>
      <c r="K23" s="14">
        <f>SUM(Sep!C18:G18)</f>
        <v>0</v>
      </c>
      <c r="L23" s="14">
        <f>SUM(Oct!C18:G18)</f>
        <v>0</v>
      </c>
      <c r="M23" s="14">
        <f>SUM(Nov!C18:G18)</f>
        <v>0</v>
      </c>
      <c r="N23" s="15">
        <f>SUM(Dec!C18:G18)</f>
        <v>0</v>
      </c>
      <c r="O23" s="201">
        <f t="shared" si="3"/>
        <v>3</v>
      </c>
      <c r="P23" s="139">
        <f>SUM('Jan20'!C18:G18)</f>
        <v>0</v>
      </c>
      <c r="Q23" s="139">
        <f>SUM('Feb20'!C18:G18)</f>
        <v>0</v>
      </c>
      <c r="R23" s="139">
        <f>SUM('Mar20'!C18:G18)</f>
        <v>0</v>
      </c>
      <c r="S23" s="139">
        <f>SUM('Apr20'!C18:G18)</f>
        <v>0</v>
      </c>
      <c r="T23" s="139">
        <f>SUM('May20'!C18:G18)</f>
        <v>0</v>
      </c>
      <c r="U23" s="139">
        <f>SUM('Jun20'!C18:G18)</f>
        <v>0</v>
      </c>
      <c r="V23" s="139">
        <f>SUM('Jul20'!C18:G18)</f>
        <v>0</v>
      </c>
      <c r="W23" s="139">
        <f>SUM('Aug20'!C18:G18)</f>
        <v>0</v>
      </c>
      <c r="X23" s="139">
        <f>SUM('Sep20'!C18:G18)</f>
        <v>0</v>
      </c>
      <c r="Y23" s="139">
        <f>SUM('Oct20'!C18:G18)</f>
        <v>0</v>
      </c>
      <c r="Z23" s="139">
        <f>SUM('Nov20'!C18:G18)</f>
        <v>0</v>
      </c>
      <c r="AA23" s="139">
        <f>SUM('Dec20'!C18:G18)</f>
        <v>0</v>
      </c>
      <c r="AB23" s="216">
        <f t="shared" si="1"/>
        <v>0</v>
      </c>
      <c r="AC23" s="230">
        <f t="shared" si="4"/>
        <v>3</v>
      </c>
    </row>
    <row r="24" spans="1:29" ht="27" customHeight="1" thickBot="1" x14ac:dyDescent="0.3">
      <c r="A24" s="254"/>
      <c r="B24" s="143" t="s">
        <v>76</v>
      </c>
      <c r="C24" s="139">
        <f>SUM(Jan!C19:G19)</f>
        <v>0</v>
      </c>
      <c r="D24" s="139">
        <f>SUM(Feb!C19:G19)</f>
        <v>0</v>
      </c>
      <c r="E24" s="139">
        <f>SUM(Mar!C19:G19)</f>
        <v>0</v>
      </c>
      <c r="F24" s="14">
        <f>SUM(Apr!C19:G19)</f>
        <v>0</v>
      </c>
      <c r="G24" s="14">
        <f>SUM(May!C19:G19)</f>
        <v>0</v>
      </c>
      <c r="H24" s="14">
        <f>SUM(Jun!C19:G19)</f>
        <v>0</v>
      </c>
      <c r="I24" s="14">
        <f>SUM(Jul!C19:G19)</f>
        <v>0</v>
      </c>
      <c r="J24" s="14">
        <f>SUM(Aug!C19:G19)</f>
        <v>0</v>
      </c>
      <c r="K24" s="14">
        <f>SUM(Sep!C19:G19)</f>
        <v>0</v>
      </c>
      <c r="L24" s="14">
        <f>SUM(Oct!C19:G19)</f>
        <v>0</v>
      </c>
      <c r="M24" s="14" t="s">
        <v>92</v>
      </c>
      <c r="N24" s="15">
        <f>SUM(Dec!C19:G19)</f>
        <v>0</v>
      </c>
      <c r="O24" s="201">
        <f t="shared" si="3"/>
        <v>0</v>
      </c>
      <c r="P24" s="139">
        <f>SUM('Jan20'!C19:G19)</f>
        <v>0</v>
      </c>
      <c r="Q24" s="139">
        <f>SUM('Feb20'!C19:G19)</f>
        <v>0</v>
      </c>
      <c r="R24" s="139">
        <f>SUM('Mar20'!C19:G19)</f>
        <v>0</v>
      </c>
      <c r="S24" s="139">
        <f>SUM('Apr20'!C19:G19)</f>
        <v>0</v>
      </c>
      <c r="T24" s="139">
        <f>SUM('May20'!C19:G19)</f>
        <v>0</v>
      </c>
      <c r="U24" s="139">
        <f>SUM('Jun20'!C19:G19)</f>
        <v>0</v>
      </c>
      <c r="V24" s="139">
        <f>SUM('Jul20'!C19:G19)</f>
        <v>0</v>
      </c>
      <c r="W24" s="139">
        <f>SUM('Aug20'!C19:G19)</f>
        <v>0</v>
      </c>
      <c r="X24" s="139">
        <f>SUM('Sep20'!C19:G19)</f>
        <v>0</v>
      </c>
      <c r="Y24" s="139">
        <f>SUM('Oct20'!C19:G19)</f>
        <v>0</v>
      </c>
      <c r="Z24" s="139">
        <f>SUM('Nov20'!C19:G19)</f>
        <v>0</v>
      </c>
      <c r="AA24" s="139">
        <f>SUM('Dec20'!C19:G19)</f>
        <v>0</v>
      </c>
      <c r="AB24" s="216">
        <f t="shared" si="1"/>
        <v>0</v>
      </c>
      <c r="AC24" s="230">
        <f t="shared" si="4"/>
        <v>0</v>
      </c>
    </row>
    <row r="25" spans="1:29" ht="27" customHeight="1" x14ac:dyDescent="0.25">
      <c r="A25" s="254"/>
      <c r="B25" s="163" t="s">
        <v>33</v>
      </c>
      <c r="C25" s="138">
        <f>SUM(Jan!C20:G20)</f>
        <v>5</v>
      </c>
      <c r="D25" s="138">
        <f>SUM(Feb!C20:G20)</f>
        <v>7</v>
      </c>
      <c r="E25" s="138">
        <f>SUM(Mar!C20:G20)</f>
        <v>8</v>
      </c>
      <c r="F25" s="140">
        <f>SUM(Apr!C20:G20)</f>
        <v>10</v>
      </c>
      <c r="G25" s="140">
        <f>SUM(May!C20:G20)</f>
        <v>5</v>
      </c>
      <c r="H25" s="140">
        <f>SUM(Jun!C20:G20)</f>
        <v>5</v>
      </c>
      <c r="I25" s="140">
        <f>SUM(Jul!C20:G20)</f>
        <v>2</v>
      </c>
      <c r="J25" s="140">
        <f>SUM(Aug!C20:G20)</f>
        <v>2</v>
      </c>
      <c r="K25" s="140">
        <f>SUM(Sep!C20:G20)</f>
        <v>1</v>
      </c>
      <c r="L25" s="140">
        <f>SUM(Oct!C20:G20)</f>
        <v>12</v>
      </c>
      <c r="M25" s="140">
        <f>SUM(Nov!C20:G20)</f>
        <v>4</v>
      </c>
      <c r="N25" s="164">
        <f>SUM(Dec!C20:G20)</f>
        <v>9</v>
      </c>
      <c r="O25" s="201">
        <f t="shared" si="3"/>
        <v>70</v>
      </c>
      <c r="P25" s="171">
        <f>SUM('Jan20'!C20:G20)</f>
        <v>6</v>
      </c>
      <c r="Q25" s="171">
        <f>SUM('Feb20'!C20:G20)</f>
        <v>7</v>
      </c>
      <c r="R25" s="171">
        <f>SUM('Mar20'!C20:G20)</f>
        <v>5</v>
      </c>
      <c r="S25" s="171">
        <f>SUM('Apr20'!C20:G20)</f>
        <v>5</v>
      </c>
      <c r="T25" s="171">
        <f>SUM('May20'!C20:G20)</f>
        <v>11</v>
      </c>
      <c r="U25" s="171">
        <f>SUM('Jun20'!C20:G20)</f>
        <v>15</v>
      </c>
      <c r="V25" s="171">
        <f>SUM('Jul20'!C20:G20)</f>
        <v>0</v>
      </c>
      <c r="W25" s="171">
        <f>SUM('Aug20'!C20:G20)</f>
        <v>0</v>
      </c>
      <c r="X25" s="171">
        <f>SUM('Sep20'!C20:G20)</f>
        <v>0</v>
      </c>
      <c r="Y25" s="171">
        <f>SUM('Oct20'!C20:G20)</f>
        <v>0</v>
      </c>
      <c r="Z25" s="171">
        <f>SUM('Nov20'!C20:G20)</f>
        <v>0</v>
      </c>
      <c r="AA25" s="171">
        <f>SUM('Dec20'!C20:G20)</f>
        <v>0</v>
      </c>
      <c r="AB25" s="216">
        <f t="shared" si="1"/>
        <v>49</v>
      </c>
      <c r="AC25" s="230">
        <f t="shared" si="4"/>
        <v>119</v>
      </c>
    </row>
    <row r="26" spans="1:29" ht="27" customHeight="1" x14ac:dyDescent="0.25">
      <c r="A26" s="254"/>
      <c r="B26" s="166" t="s">
        <v>28</v>
      </c>
      <c r="C26" s="139">
        <f>SUM(Jan!C21:G21)</f>
        <v>3</v>
      </c>
      <c r="D26" s="139">
        <f>SUM(Feb!C21:G21)</f>
        <v>6</v>
      </c>
      <c r="E26" s="139">
        <f>SUM(Mar!C21:G21)</f>
        <v>5</v>
      </c>
      <c r="F26" s="139">
        <f>SUM(Apr!C21:G21)</f>
        <v>7</v>
      </c>
      <c r="G26" s="139">
        <f>SUM(May!C21:G21)</f>
        <v>5</v>
      </c>
      <c r="H26" s="139">
        <f>SUM(Jun!C21:G21)</f>
        <v>3</v>
      </c>
      <c r="I26" s="139">
        <f>SUM(Jul!C21:G21)</f>
        <v>2</v>
      </c>
      <c r="J26" s="139">
        <f>SUM(Aug!C21:G21)</f>
        <v>2</v>
      </c>
      <c r="K26" s="139">
        <f>SUM(Sep!C21:G21)</f>
        <v>1</v>
      </c>
      <c r="L26" s="139">
        <f>SUM(Oct!C21:G21)</f>
        <v>10</v>
      </c>
      <c r="M26" s="139">
        <f>SUM(Nov!C21:G21)</f>
        <v>3</v>
      </c>
      <c r="N26" s="139">
        <f>SUM(Dec!C21:G21)</f>
        <v>7</v>
      </c>
      <c r="O26" s="202">
        <f t="shared" ref="O26:O27" si="5">SUM(C26:N26)</f>
        <v>54</v>
      </c>
      <c r="P26" s="139">
        <f>SUM('Jan20'!C21:G21)</f>
        <v>4</v>
      </c>
      <c r="Q26" s="139">
        <f>SUM('Feb20'!C21:G21)</f>
        <v>5</v>
      </c>
      <c r="R26" s="139">
        <f>SUM('Mar20'!C21:G21)</f>
        <v>4</v>
      </c>
      <c r="S26" s="139">
        <f>SUM('Apr20'!C21:G21)</f>
        <v>5</v>
      </c>
      <c r="T26" s="139">
        <f>SUM('May20'!C21:G21)</f>
        <v>10</v>
      </c>
      <c r="U26" s="139">
        <f>SUM('Jun20'!C21:G21)</f>
        <v>13</v>
      </c>
      <c r="V26" s="139">
        <f>SUM('Jul20'!C21:G21)</f>
        <v>0</v>
      </c>
      <c r="W26" s="139">
        <f>SUM('Aug20'!C21:G21)</f>
        <v>0</v>
      </c>
      <c r="X26" s="139">
        <f>SUM('Sep20'!C21:G21)</f>
        <v>0</v>
      </c>
      <c r="Y26" s="139">
        <f>SUM('Oct20'!C21:G21)</f>
        <v>0</v>
      </c>
      <c r="Z26" s="139">
        <f>SUM('Nov20'!C21:G21)</f>
        <v>0</v>
      </c>
      <c r="AA26" s="139">
        <f>SUM('Dec20'!C21:G21)</f>
        <v>0</v>
      </c>
      <c r="AB26" s="216">
        <f t="shared" si="1"/>
        <v>41</v>
      </c>
      <c r="AC26" s="230">
        <f t="shared" si="4"/>
        <v>95</v>
      </c>
    </row>
    <row r="27" spans="1:29" ht="21" x14ac:dyDescent="0.25">
      <c r="B27" s="166" t="s">
        <v>29</v>
      </c>
      <c r="C27" s="139">
        <f>SUM(Jan!C22:G22)</f>
        <v>2</v>
      </c>
      <c r="D27" s="139">
        <f>SUM(Feb!C22:G22)</f>
        <v>1</v>
      </c>
      <c r="E27" s="139">
        <f>SUM(Mar!C22:G22)</f>
        <v>3</v>
      </c>
      <c r="F27" s="139">
        <f>SUM(Apr!C22:G22)</f>
        <v>3</v>
      </c>
      <c r="G27" s="139">
        <f>SUM(May!C22:G22)</f>
        <v>0</v>
      </c>
      <c r="H27" s="139">
        <f>SUM(Jun!C22:G22)</f>
        <v>2</v>
      </c>
      <c r="I27" s="139">
        <f>SUM(Jul!C22:G22)</f>
        <v>0</v>
      </c>
      <c r="J27" s="139">
        <f>SUM(Aug!C22:G22)</f>
        <v>0</v>
      </c>
      <c r="K27" s="139">
        <f>SUM(Sep!C22:G22)</f>
        <v>0</v>
      </c>
      <c r="L27" s="139">
        <f>SUM(Oct!C22:G22)</f>
        <v>2</v>
      </c>
      <c r="M27" s="139">
        <f>SUM(Nov!C22:G22)</f>
        <v>1</v>
      </c>
      <c r="N27" s="139">
        <f>SUM(Dec!C22:G22)</f>
        <v>2</v>
      </c>
      <c r="O27" s="202">
        <f t="shared" si="5"/>
        <v>16</v>
      </c>
      <c r="P27" s="139">
        <f>SUM('Jan20'!C22:G22)</f>
        <v>2</v>
      </c>
      <c r="Q27" s="139">
        <f>SUM('Feb20'!C22:G22)</f>
        <v>2</v>
      </c>
      <c r="R27" s="139">
        <f>SUM('Mar20'!C22:G22)</f>
        <v>1</v>
      </c>
      <c r="S27" s="139">
        <f>SUM('Apr20'!C22:G22)</f>
        <v>0</v>
      </c>
      <c r="T27" s="139">
        <f>SUM('May20'!C22:G22)</f>
        <v>1</v>
      </c>
      <c r="U27" s="139">
        <f>SUM('Jun20'!C22:G22)</f>
        <v>2</v>
      </c>
      <c r="V27" s="139">
        <f>SUM('Jul20'!C22:G22)</f>
        <v>0</v>
      </c>
      <c r="W27" s="139">
        <f>SUM('Aug20'!C22:G22)</f>
        <v>0</v>
      </c>
      <c r="X27" s="139">
        <f>SUM('Sep20'!C22:G22)</f>
        <v>0</v>
      </c>
      <c r="Y27" s="139">
        <f>SUM('Oct20'!C22:G22)</f>
        <v>0</v>
      </c>
      <c r="Z27" s="139">
        <f>SUM('Nov20'!C22:G22)</f>
        <v>0</v>
      </c>
      <c r="AA27" s="139">
        <f>SUM('Dec20'!C22:G22)</f>
        <v>0</v>
      </c>
      <c r="AB27" s="216">
        <f t="shared" si="1"/>
        <v>8</v>
      </c>
      <c r="AC27" s="230">
        <f t="shared" si="4"/>
        <v>24</v>
      </c>
    </row>
    <row r="28" spans="1:29" ht="22" thickBot="1" x14ac:dyDescent="0.3">
      <c r="B28" s="137" t="s">
        <v>30</v>
      </c>
      <c r="C28" s="165">
        <f>SUM(Jan!C23:G23)</f>
        <v>0</v>
      </c>
      <c r="D28" s="165">
        <f>SUM(Feb!C23:G23)</f>
        <v>2</v>
      </c>
      <c r="E28" s="165">
        <f>SUM(Mar!C23:G23)</f>
        <v>2</v>
      </c>
      <c r="F28" s="165">
        <f>SUM(Apr!C23:G23)</f>
        <v>1</v>
      </c>
      <c r="G28" s="165">
        <f>SUM(May!C23:G23)</f>
        <v>3</v>
      </c>
      <c r="H28" s="165">
        <f>SUM(Jun!C23:G23)</f>
        <v>1</v>
      </c>
      <c r="I28" s="165">
        <f>SUM(Jul!C23:G23)</f>
        <v>1</v>
      </c>
      <c r="J28" s="165">
        <f>SUM(Aug!C23:G23)</f>
        <v>2</v>
      </c>
      <c r="K28" s="165">
        <f>SUM(Sep!C23:G23)</f>
        <v>2</v>
      </c>
      <c r="L28" s="165">
        <f>SUM(Oct!C23:G23)</f>
        <v>1</v>
      </c>
      <c r="M28" s="165">
        <f>SUM(Nov!C23:G23)</f>
        <v>0</v>
      </c>
      <c r="N28" s="165">
        <f>SUM(Dec!C23:G23)</f>
        <v>1</v>
      </c>
      <c r="O28" s="201">
        <f t="shared" si="3"/>
        <v>16</v>
      </c>
      <c r="P28" s="171">
        <f>SUM('Jan20'!C23:G23)</f>
        <v>1</v>
      </c>
      <c r="Q28" s="171">
        <f>SUM('Feb20'!C23:G23)</f>
        <v>1</v>
      </c>
      <c r="R28" s="171">
        <f>SUM('Mar20'!C23:G23)</f>
        <v>0</v>
      </c>
      <c r="S28" s="171">
        <f>SUM('Apr20'!C23:G23)</f>
        <v>0</v>
      </c>
      <c r="T28" s="171">
        <f>SUM('May20'!C23:G23)</f>
        <v>0</v>
      </c>
      <c r="U28" s="171">
        <f>SUM('Jun20'!C23:G23)</f>
        <v>2</v>
      </c>
      <c r="V28" s="171">
        <f>SUM('Jul20'!C23:G23)</f>
        <v>0</v>
      </c>
      <c r="W28" s="171">
        <f>SUM('Aug20'!C23:G23)</f>
        <v>0</v>
      </c>
      <c r="X28" s="171">
        <f>SUM('Sep20'!C23:G23)</f>
        <v>0</v>
      </c>
      <c r="Y28" s="171">
        <f>SUM('Oct20'!C23:G23)</f>
        <v>0</v>
      </c>
      <c r="Z28" s="171">
        <f>SUM('Nov20'!C23:G23)</f>
        <v>0</v>
      </c>
      <c r="AA28" s="171">
        <f>SUM('Dec20'!C23:G23)</f>
        <v>0</v>
      </c>
      <c r="AB28" s="216">
        <f t="shared" si="1"/>
        <v>4</v>
      </c>
      <c r="AC28" s="230">
        <f t="shared" si="4"/>
        <v>20</v>
      </c>
    </row>
  </sheetData>
  <mergeCells count="1">
    <mergeCell ref="A6:A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1"/>
  </sheetPr>
  <dimension ref="A1:AB23"/>
  <sheetViews>
    <sheetView zoomScale="90" zoomScaleNormal="90" workbookViewId="0">
      <pane xSplit="2" ySplit="1" topLeftCell="C2" activePane="bottomRight" state="frozen"/>
      <selection activeCell="B21" sqref="B21"/>
      <selection pane="topRight" activeCell="B21" sqref="B21"/>
      <selection pane="bottomLeft" activeCell="B21" sqref="B21"/>
      <selection pane="bottomRight" activeCell="D6" sqref="D6"/>
    </sheetView>
  </sheetViews>
  <sheetFormatPr baseColWidth="10" defaultColWidth="11" defaultRowHeight="21" x14ac:dyDescent="0.25"/>
  <cols>
    <col min="1" max="1" width="8" customWidth="1"/>
    <col min="2" max="2" width="48" style="1" customWidth="1"/>
    <col min="3" max="3" width="22.33203125" style="12" bestFit="1" customWidth="1"/>
    <col min="4" max="14" width="13.33203125" style="12" customWidth="1"/>
    <col min="15" max="15" width="9.33203125" style="12" customWidth="1"/>
    <col min="16" max="16" width="13.33203125" style="12" customWidth="1"/>
  </cols>
  <sheetData>
    <row r="1" spans="1:28" ht="51" customHeight="1" x14ac:dyDescent="0.2">
      <c r="B1" s="144" t="s">
        <v>55</v>
      </c>
      <c r="C1" s="43" t="s">
        <v>99</v>
      </c>
      <c r="D1" s="186">
        <v>43466</v>
      </c>
      <c r="E1" s="187">
        <v>43497</v>
      </c>
      <c r="F1" s="188">
        <v>43525</v>
      </c>
      <c r="G1" s="189">
        <v>43556</v>
      </c>
      <c r="H1" s="190">
        <v>43586</v>
      </c>
      <c r="I1" s="191">
        <v>43617</v>
      </c>
      <c r="J1" s="192">
        <v>43647</v>
      </c>
      <c r="K1" s="193">
        <v>43678</v>
      </c>
      <c r="L1" s="194">
        <v>43709</v>
      </c>
      <c r="M1" s="195">
        <v>43739</v>
      </c>
      <c r="N1" s="196">
        <v>43770</v>
      </c>
      <c r="O1" s="197">
        <v>43800</v>
      </c>
      <c r="P1" s="217" t="s">
        <v>98</v>
      </c>
      <c r="Q1" s="186">
        <v>43831</v>
      </c>
      <c r="R1" s="187">
        <v>43862</v>
      </c>
      <c r="S1" s="188">
        <v>43891</v>
      </c>
      <c r="T1" s="189">
        <v>43922</v>
      </c>
      <c r="U1" s="190">
        <v>43952</v>
      </c>
      <c r="V1" s="191">
        <v>43983</v>
      </c>
      <c r="W1" s="192">
        <v>44013</v>
      </c>
      <c r="X1" s="193">
        <v>44044</v>
      </c>
      <c r="Y1" s="194">
        <v>44075</v>
      </c>
      <c r="Z1" s="195">
        <v>44105</v>
      </c>
      <c r="AA1" s="196">
        <v>44136</v>
      </c>
      <c r="AB1" s="197">
        <v>44166</v>
      </c>
    </row>
    <row r="2" spans="1:28" ht="51" customHeight="1" x14ac:dyDescent="0.2">
      <c r="A2" s="79" t="s">
        <v>57</v>
      </c>
      <c r="B2" s="37" t="s">
        <v>41</v>
      </c>
      <c r="C2" s="74">
        <f>1000*('Annual log'!AC14/'Annual log'!AC11)</f>
        <v>19.551397385150533</v>
      </c>
      <c r="D2" s="41">
        <f>1000*('Annual log'!C14/'Annual log'!C11)</f>
        <v>17.897091722595079</v>
      </c>
      <c r="E2" s="63">
        <f>1000*('Annual log'!D14/'Annual log'!D11)</f>
        <v>26.041666666666668</v>
      </c>
      <c r="F2" s="41">
        <f>1000*('Annual log'!E14/'Annual log'!E11)</f>
        <v>24.444444444444446</v>
      </c>
      <c r="G2" s="63">
        <f>1000*('Annual log'!F14/'Annual log'!F11)</f>
        <v>9.5238095238095255</v>
      </c>
      <c r="H2" s="41">
        <f>1000*('Annual log'!G14/'Annual log'!G11)</f>
        <v>19.148936170212767</v>
      </c>
      <c r="I2" s="63">
        <f>1000*('Annual log'!H14/'Annual log'!H11)</f>
        <v>11.627906976744185</v>
      </c>
      <c r="J2" s="41">
        <f>1000*('Annual log'!I14/'Annual log'!I11)</f>
        <v>13.82488479262673</v>
      </c>
      <c r="K2" s="63">
        <f>1000*('Annual log'!J14/'Annual log'!J11)</f>
        <v>28.205128205128204</v>
      </c>
      <c r="L2" s="41">
        <f>1000*('Annual log'!K14/'Annual log'!K11)</f>
        <v>12.738853503184714</v>
      </c>
      <c r="M2" s="63">
        <f>1000*('Annual log'!L14/'Annual log'!L11)</f>
        <v>14.85148514851485</v>
      </c>
      <c r="N2" s="41">
        <f>1000*('Annual log'!M14/'Annual log'!M11)</f>
        <v>25.773195876288657</v>
      </c>
      <c r="O2" s="63">
        <f>1000*('Annual log'!N14/'Annual log'!N11)</f>
        <v>25.462962962962962</v>
      </c>
      <c r="P2" s="218">
        <f>1000*('Annual log'!AB14/'Annual log'!AB11)</f>
        <v>20.516008703761266</v>
      </c>
      <c r="Q2" s="41">
        <f>1000*('Annual log'!P14/'Annual log'!P11)</f>
        <v>19.480519480519479</v>
      </c>
      <c r="R2" s="63">
        <f>1000*('Annual log'!Q14/'Annual log'!Q11)</f>
        <v>17.509727626459146</v>
      </c>
      <c r="S2" s="41">
        <f>1000*('Annual log'!R14/'Annual log'!R11)</f>
        <v>23.4375</v>
      </c>
      <c r="T2" s="63">
        <f>1000*('Annual log'!S14/'Annual log'!S11)</f>
        <v>23.809523809523807</v>
      </c>
      <c r="U2" s="41">
        <f>1000*('Annual log'!T14/'Annual log'!T11)</f>
        <v>13.266998341625207</v>
      </c>
      <c r="V2" s="63">
        <f>1000*('Annual log'!U14/'Annual log'!U11)</f>
        <v>25.862068965517242</v>
      </c>
      <c r="W2" s="41" t="e">
        <f>1000*('Annual log'!V14/'Annual log'!V11)</f>
        <v>#DIV/0!</v>
      </c>
      <c r="X2" s="63" t="e">
        <f>1000*('Annual log'!W14/'Annual log'!W11)</f>
        <v>#DIV/0!</v>
      </c>
      <c r="Y2" s="41" t="e">
        <f>1000*('Annual log'!X14/'Annual log'!X11)</f>
        <v>#DIV/0!</v>
      </c>
      <c r="Z2" s="63" t="e">
        <f>1000*('Annual log'!Y14/'Annual log'!Y11)</f>
        <v>#DIV/0!</v>
      </c>
      <c r="AA2" s="41" t="e">
        <f>1000*('Annual log'!Z14/'Annual log'!Z11)</f>
        <v>#DIV/0!</v>
      </c>
      <c r="AB2" s="63" t="e">
        <f>1000*('Annual log'!AA14/'Annual log'!AA11)</f>
        <v>#DIV/0!</v>
      </c>
    </row>
    <row r="3" spans="1:28" ht="51" customHeight="1" x14ac:dyDescent="0.2">
      <c r="A3" s="33"/>
      <c r="B3" s="38" t="s">
        <v>39</v>
      </c>
      <c r="C3" s="39">
        <f>'Annual log'!AC16/'Annual log'!AC14</f>
        <v>0.41717791411042943</v>
      </c>
      <c r="D3" s="36">
        <f>'Annual log'!C16/'Annual log'!C14</f>
        <v>0.5</v>
      </c>
      <c r="E3" s="64">
        <f>'Annual log'!D16/'Annual log'!D14</f>
        <v>0.4</v>
      </c>
      <c r="F3" s="36">
        <f>'Annual log'!E16/'Annual log'!E14</f>
        <v>0.54545454545454541</v>
      </c>
      <c r="G3" s="64">
        <f>'Annual log'!F16/'Annual log'!F14</f>
        <v>0.5</v>
      </c>
      <c r="H3" s="36">
        <f>'Annual log'!G16/'Annual log'!G14</f>
        <v>0.33333333333333331</v>
      </c>
      <c r="I3" s="64">
        <f>'Annual log'!H16/'Annual log'!H14</f>
        <v>0.6</v>
      </c>
      <c r="J3" s="36">
        <f>'Annual log'!I16/'Annual log'!I14</f>
        <v>0.33333333333333331</v>
      </c>
      <c r="K3" s="64">
        <f>'Annual log'!J16/'Annual log'!J14</f>
        <v>0.27272727272727271</v>
      </c>
      <c r="L3" s="36">
        <f>'Annual log'!K16/'Annual log'!K14</f>
        <v>0.5</v>
      </c>
      <c r="M3" s="64">
        <f>'Annual log'!L16/'Annual log'!L14</f>
        <v>0.66666666666666663</v>
      </c>
      <c r="N3" s="36">
        <f>'Annual log'!M16/'Annual log'!M14</f>
        <v>0.4</v>
      </c>
      <c r="O3" s="64">
        <f>'Annual log'!N16/'Annual log'!N14</f>
        <v>0.54545454545454541</v>
      </c>
      <c r="P3" s="222">
        <f>'Annual log'!AB16/'Annual log'!AB14</f>
        <v>0.36363636363636365</v>
      </c>
      <c r="Q3" s="36">
        <f>'Annual log'!P16/'Annual log'!P14</f>
        <v>0.55555555555555558</v>
      </c>
      <c r="R3" s="64">
        <f>'Annual log'!Q16/'Annual log'!Q14</f>
        <v>0.44444444444444442</v>
      </c>
      <c r="S3" s="36">
        <f>'Annual log'!R16/'Annual log'!R14</f>
        <v>0.58333333333333337</v>
      </c>
      <c r="T3" s="64">
        <f>'Annual log'!S16/'Annual log'!S14</f>
        <v>0.30769230769230771</v>
      </c>
      <c r="U3" s="36">
        <f>'Annual log'!T16/'Annual log'!T14</f>
        <v>0.25</v>
      </c>
      <c r="V3" s="64">
        <f>'Annual log'!U16/'Annual log'!U14</f>
        <v>0.13333333333333333</v>
      </c>
      <c r="W3" s="36" t="e">
        <f>'Annual log'!V16/'Annual log'!V14</f>
        <v>#DIV/0!</v>
      </c>
      <c r="X3" s="64" t="e">
        <f>'Annual log'!W16/'Annual log'!W14</f>
        <v>#DIV/0!</v>
      </c>
      <c r="Y3" s="36" t="e">
        <f>'Annual log'!X16/'Annual log'!X14</f>
        <v>#DIV/0!</v>
      </c>
      <c r="Z3" s="64" t="e">
        <f>'Annual log'!Y16/'Annual log'!Y14</f>
        <v>#DIV/0!</v>
      </c>
      <c r="AA3" s="36" t="e">
        <f>'Annual log'!Z16/'Annual log'!Z14</f>
        <v>#DIV/0!</v>
      </c>
      <c r="AB3" s="64" t="e">
        <f>'Annual log'!AA16/'Annual log'!AA14</f>
        <v>#DIV/0!</v>
      </c>
    </row>
    <row r="4" spans="1:28" ht="51" customHeight="1" x14ac:dyDescent="0.2">
      <c r="A4" s="33"/>
      <c r="B4" s="37" t="s">
        <v>43</v>
      </c>
      <c r="C4" s="74">
        <f>1000*('Annual log'!AC26/'Annual log'!AC17)</f>
        <v>11.643583772521142</v>
      </c>
      <c r="D4" s="41">
        <f>1000*('Annual log'!C26/'Annual log'!C17)</f>
        <v>6.83371298405467</v>
      </c>
      <c r="E4" s="63">
        <f>1000*('Annual log'!D26/'Annual log'!D17)</f>
        <v>16.042780748663102</v>
      </c>
      <c r="F4" s="41">
        <f>1000*('Annual log'!E26/'Annual log'!E17)</f>
        <v>11.337868480725623</v>
      </c>
      <c r="G4" s="63">
        <f>1000*('Annual log'!F26/'Annual log'!F17)</f>
        <v>16.826923076923077</v>
      </c>
      <c r="H4" s="41">
        <f>1000*('Annual log'!G26/'Annual log'!G17)</f>
        <v>10.845986984815617</v>
      </c>
      <c r="I4" s="63">
        <f>1000*('Annual log'!H26/'Annual log'!H17)</f>
        <v>7.0588235294117654</v>
      </c>
      <c r="J4" s="41">
        <f>1000*('Annual log'!I26/'Annual log'!I17)</f>
        <v>4.6728971962616823</v>
      </c>
      <c r="K4" s="63">
        <f>1000*('Annual log'!J26/'Annual log'!J17)</f>
        <v>5.2770448548812663</v>
      </c>
      <c r="L4" s="41">
        <f>1000*('Annual log'!K26/'Annual log'!K17)</f>
        <v>2.150537634408602</v>
      </c>
      <c r="M4" s="63">
        <f>1000*('Annual log'!L26/'Annual log'!L17)</f>
        <v>26.246719160104988</v>
      </c>
      <c r="N4" s="41">
        <f>1000*('Annual log'!M26/'Annual log'!M17)</f>
        <v>7.9365079365079358</v>
      </c>
      <c r="O4" s="63">
        <f>1000*('Annual log'!N26/'Annual log'!N17)</f>
        <v>16.6270783847981</v>
      </c>
      <c r="P4" s="218">
        <f>1000*('Annual log'!AB26/'Annual log'!AB17)</f>
        <v>13.011742304030466</v>
      </c>
      <c r="Q4" s="41">
        <f>1000*('Annual log'!P26/'Annual log'!P17)</f>
        <v>8.8300220750551883</v>
      </c>
      <c r="R4" s="63">
        <f>1000*('Annual log'!Q26/'Annual log'!Q17)</f>
        <v>9.9009900990099009</v>
      </c>
      <c r="S4" s="41">
        <f>1000*('Annual log'!R26/'Annual log'!R17)</f>
        <v>8</v>
      </c>
      <c r="T4" s="63">
        <f>1000*('Annual log'!S26/'Annual log'!S17)</f>
        <v>9.3808630393996264</v>
      </c>
      <c r="U4" s="41">
        <f>1000*('Annual log'!T26/'Annual log'!T17)</f>
        <v>16.806722689075631</v>
      </c>
      <c r="V4" s="63">
        <f>1000*('Annual log'!U26/'Annual log'!U17)</f>
        <v>23.008849557522122</v>
      </c>
      <c r="W4" s="41" t="e">
        <f>1000*('Annual log'!V26/'Annual log'!V17)</f>
        <v>#DIV/0!</v>
      </c>
      <c r="X4" s="63" t="e">
        <f>1000*('Annual log'!W26/'Annual log'!W17)</f>
        <v>#DIV/0!</v>
      </c>
      <c r="Y4" s="41" t="e">
        <f>1000*('Annual log'!X26/'Annual log'!X17)</f>
        <v>#DIV/0!</v>
      </c>
      <c r="Z4" s="63" t="e">
        <f>1000*('Annual log'!Y26/'Annual log'!Y17)</f>
        <v>#DIV/0!</v>
      </c>
      <c r="AA4" s="41" t="e">
        <f>1000*('Annual log'!Z26/'Annual log'!Z17)</f>
        <v>#DIV/0!</v>
      </c>
      <c r="AB4" s="63" t="e">
        <f>1000*('Annual log'!AA26/'Annual log'!AA17)</f>
        <v>#DIV/0!</v>
      </c>
    </row>
    <row r="5" spans="1:28" ht="51" customHeight="1" x14ac:dyDescent="0.2">
      <c r="A5" s="33"/>
      <c r="B5" s="38" t="s">
        <v>44</v>
      </c>
      <c r="C5" s="40">
        <f>1000*(('Annual log'!AC26+'Annual log'!AC14)/'Annual log'!AC11)</f>
        <v>30.946383591219863</v>
      </c>
      <c r="D5" s="42">
        <f>1000*(('Annual log'!C26+'Annual log'!C14)/'Annual log'!C11)</f>
        <v>24.608501118568235</v>
      </c>
      <c r="E5" s="65">
        <f>1000*(('Annual log'!D26+'Annual log'!D14)/'Annual log'!D11)</f>
        <v>41.666666666666664</v>
      </c>
      <c r="F5" s="42">
        <f>1000*(('Annual log'!E26+'Annual log'!E14)/'Annual log'!E11)</f>
        <v>35.555555555555557</v>
      </c>
      <c r="G5" s="65">
        <f>1000*(('Annual log'!F26+'Annual log'!F14)/'Annual log'!F11)</f>
        <v>26.19047619047619</v>
      </c>
      <c r="H5" s="42">
        <f>1000*(('Annual log'!G26+'Annual log'!G14)/'Annual log'!G11)</f>
        <v>29.787234042553195</v>
      </c>
      <c r="I5" s="65">
        <f>1000*(('Annual log'!H26+'Annual log'!H14)/'Annual log'!H11)</f>
        <v>18.604651162790699</v>
      </c>
      <c r="J5" s="42">
        <f>1000*(('Annual log'!I26+'Annual log'!I14)/'Annual log'!I11)</f>
        <v>18.433179723502302</v>
      </c>
      <c r="K5" s="65">
        <f>1000*(('Annual log'!J26+'Annual log'!J14)/'Annual log'!J11)</f>
        <v>33.333333333333336</v>
      </c>
      <c r="L5" s="42">
        <f>1000*(('Annual log'!K26+'Annual log'!K14)/'Annual log'!K11)</f>
        <v>14.861995753715499</v>
      </c>
      <c r="M5" s="65">
        <f>1000*(('Annual log'!L26+'Annual log'!L14)/'Annual log'!L11)</f>
        <v>39.603960396039604</v>
      </c>
      <c r="N5" s="42">
        <f>1000*(('Annual log'!M26+'Annual log'!M14)/'Annual log'!M11)</f>
        <v>33.505154639175259</v>
      </c>
      <c r="O5" s="65">
        <f>1000*(('Annual log'!N26+'Annual log'!N14)/'Annual log'!N11)</f>
        <v>41.666666666666664</v>
      </c>
      <c r="P5" s="223">
        <f>1000*(('Annual log'!AB26+'Annual log'!AB14)/'Annual log'!AB11)</f>
        <v>33.260801989431151</v>
      </c>
      <c r="Q5" s="42">
        <f>1000*(('Annual log'!P26+'Annual log'!P14)/'Annual log'!P11)</f>
        <v>28.138528138528141</v>
      </c>
      <c r="R5" s="65">
        <f>1000*(('Annual log'!Q26+'Annual log'!Q14)/'Annual log'!Q11)</f>
        <v>27.237354085603112</v>
      </c>
      <c r="S5" s="42">
        <f>1000*(('Annual log'!R26+'Annual log'!R14)/'Annual log'!R11)</f>
        <v>31.25</v>
      </c>
      <c r="T5" s="65">
        <f>1000*(('Annual log'!S26+'Annual log'!S14)/'Annual log'!S11)</f>
        <v>32.967032967032971</v>
      </c>
      <c r="U5" s="42">
        <f>1000*(('Annual log'!T26+'Annual log'!T14)/'Annual log'!T11)</f>
        <v>29.850746268656717</v>
      </c>
      <c r="V5" s="65">
        <f>1000*(('Annual log'!U26+'Annual log'!U14)/'Annual log'!U11)</f>
        <v>48.275862068965516</v>
      </c>
      <c r="W5" s="42" t="e">
        <f>1000*(('Annual log'!V26+'Annual log'!V14)/'Annual log'!V11)</f>
        <v>#DIV/0!</v>
      </c>
      <c r="X5" s="65" t="e">
        <f>1000*(('Annual log'!W26+'Annual log'!W14)/'Annual log'!W11)</f>
        <v>#DIV/0!</v>
      </c>
      <c r="Y5" s="42" t="e">
        <f>1000*(('Annual log'!X26+'Annual log'!X14)/'Annual log'!X11)</f>
        <v>#DIV/0!</v>
      </c>
      <c r="Z5" s="65" t="e">
        <f>1000*(('Annual log'!Y26+'Annual log'!Y14)/'Annual log'!Y11)</f>
        <v>#DIV/0!</v>
      </c>
      <c r="AA5" s="42" t="e">
        <f>1000*(('Annual log'!Z26+'Annual log'!Z14)/'Annual log'!Z11)</f>
        <v>#DIV/0!</v>
      </c>
      <c r="AB5" s="65" t="e">
        <f>1000*(('Annual log'!AA26+'Annual log'!AA14)/'Annual log'!AA11)</f>
        <v>#DIV/0!</v>
      </c>
    </row>
    <row r="6" spans="1:28" ht="51" customHeight="1" x14ac:dyDescent="0.2">
      <c r="A6" s="33"/>
      <c r="B6" s="37" t="s">
        <v>42</v>
      </c>
      <c r="C6" s="74">
        <f>1000*('Annual log'!AC25/'Annual log'!AC17)</f>
        <v>14.585120725579117</v>
      </c>
      <c r="D6" s="41">
        <f>1000*('Annual log'!C25/'Annual log'!C17)</f>
        <v>11.389521640091116</v>
      </c>
      <c r="E6" s="63">
        <f>1000*('Annual log'!D25/'Annual log'!D17)</f>
        <v>18.71657754010695</v>
      </c>
      <c r="F6" s="41">
        <f>1000*('Annual log'!E25/'Annual log'!E17)</f>
        <v>18.140589569160998</v>
      </c>
      <c r="G6" s="63">
        <f>1000*('Annual log'!F25/'Annual log'!F17)</f>
        <v>24.03846153846154</v>
      </c>
      <c r="H6" s="41">
        <f>1000*('Annual log'!G25/'Annual log'!G17)</f>
        <v>10.845986984815617</v>
      </c>
      <c r="I6" s="63">
        <f>1000*('Annual log'!H25/'Annual log'!H17)</f>
        <v>11.76470588235294</v>
      </c>
      <c r="J6" s="41">
        <f>1000*('Annual log'!I25/'Annual log'!I17)</f>
        <v>4.6728971962616823</v>
      </c>
      <c r="K6" s="63">
        <f>1000*('Annual log'!J25/'Annual log'!J17)</f>
        <v>5.2770448548812663</v>
      </c>
      <c r="L6" s="41">
        <f>1000*('Annual log'!K25/'Annual log'!K17)</f>
        <v>2.150537634408602</v>
      </c>
      <c r="M6" s="63">
        <f>1000*('Annual log'!L25/'Annual log'!L17)</f>
        <v>31.496062992125985</v>
      </c>
      <c r="N6" s="41">
        <f>1000*('Annual log'!M25/'Annual log'!M17)</f>
        <v>10.582010582010582</v>
      </c>
      <c r="O6" s="63">
        <f>1000*('Annual log'!N25/'Annual log'!N17)</f>
        <v>21.377672209026127</v>
      </c>
      <c r="P6" s="218">
        <f>1000*('Annual log'!AB25/'Annual log'!AB17)</f>
        <v>15.550618851158363</v>
      </c>
      <c r="Q6" s="41">
        <f>1000*('Annual log'!P25/'Annual log'!P17)</f>
        <v>13.245033112582782</v>
      </c>
      <c r="R6" s="63">
        <f>1000*('Annual log'!Q25/'Annual log'!Q17)</f>
        <v>13.861386138613861</v>
      </c>
      <c r="S6" s="41">
        <f>1000*('Annual log'!R25/'Annual log'!R17)</f>
        <v>10</v>
      </c>
      <c r="T6" s="63">
        <f>1000*('Annual log'!S25/'Annual log'!S17)</f>
        <v>9.3808630393996264</v>
      </c>
      <c r="U6" s="41">
        <f>1000*('Annual log'!T25/'Annual log'!T17)</f>
        <v>18.487394957983195</v>
      </c>
      <c r="V6" s="63">
        <f>1000*('Annual log'!U25/'Annual log'!U17)</f>
        <v>26.548672566371682</v>
      </c>
      <c r="W6" s="41" t="e">
        <f>1000*('Annual log'!V25/'Annual log'!V17)</f>
        <v>#DIV/0!</v>
      </c>
      <c r="X6" s="63" t="e">
        <f>1000*('Annual log'!W25/'Annual log'!W17)</f>
        <v>#DIV/0!</v>
      </c>
      <c r="Y6" s="41" t="e">
        <f>1000*('Annual log'!X25/'Annual log'!X17)</f>
        <v>#DIV/0!</v>
      </c>
      <c r="Z6" s="63" t="e">
        <f>1000*('Annual log'!Y25/'Annual log'!Y17)</f>
        <v>#DIV/0!</v>
      </c>
      <c r="AA6" s="41" t="e">
        <f>1000*('Annual log'!Z25/'Annual log'!Z17)</f>
        <v>#DIV/0!</v>
      </c>
      <c r="AB6" s="63" t="e">
        <f>1000*('Annual log'!AA25/'Annual log'!AA17)</f>
        <v>#DIV/0!</v>
      </c>
    </row>
    <row r="7" spans="1:28" ht="51" customHeight="1" x14ac:dyDescent="0.2">
      <c r="A7" s="33"/>
      <c r="B7" s="38" t="s">
        <v>45</v>
      </c>
      <c r="C7" s="40">
        <f>100000*('Annual log'!AC28/'Annual log'!AC17)</f>
        <v>245.12807942149774</v>
      </c>
      <c r="D7" s="42">
        <f>100000*('Annual log'!C28/'Annual log'!C17)</f>
        <v>0</v>
      </c>
      <c r="E7" s="65">
        <f>100000*('Annual log'!D28/'Annual log'!D17)</f>
        <v>534.75935828877004</v>
      </c>
      <c r="F7" s="42">
        <f>100000*('Annual log'!E28/'Annual log'!E17)</f>
        <v>453.51473922902494</v>
      </c>
      <c r="G7" s="65">
        <f>100000*('Annual log'!F28/'Annual log'!F17)</f>
        <v>240.38461538461539</v>
      </c>
      <c r="H7" s="42">
        <f>100000*('Annual log'!G28/'Annual log'!G17)</f>
        <v>650.75921908893702</v>
      </c>
      <c r="I7" s="65">
        <f>100000*('Annual log'!H28/'Annual log'!H17)</f>
        <v>235.29411764705881</v>
      </c>
      <c r="J7" s="42">
        <f>100000*('Annual log'!I28/'Annual log'!I17)</f>
        <v>233.64485981308408</v>
      </c>
      <c r="K7" s="65">
        <f>100000*('Annual log'!J28/'Annual log'!J17)</f>
        <v>527.70448548812658</v>
      </c>
      <c r="L7" s="42">
        <f>100000*('Annual log'!K28/'Annual log'!K17)</f>
        <v>430.10752688172045</v>
      </c>
      <c r="M7" s="65">
        <f>100000*('Annual log'!L28/'Annual log'!L17)</f>
        <v>262.46719160104988</v>
      </c>
      <c r="N7" s="42">
        <f>100000*('Annual log'!M28/'Annual log'!M17)</f>
        <v>0</v>
      </c>
      <c r="O7" s="65">
        <f>100000*('Annual log'!N28/'Annual log'!N17)</f>
        <v>237.52969121140143</v>
      </c>
      <c r="P7" s="223">
        <f>100000*('Annual log'!AB28/'Annual log'!AB17)</f>
        <v>126.94382735639479</v>
      </c>
      <c r="Q7" s="42">
        <f>100000*('Annual log'!P28/'Annual log'!P17)</f>
        <v>220.75055187637969</v>
      </c>
      <c r="R7" s="65">
        <f>100000*('Annual log'!Q28/'Annual log'!Q17)</f>
        <v>198.01980198019803</v>
      </c>
      <c r="S7" s="42">
        <f>100000*('Annual log'!R28/'Annual log'!R17)</f>
        <v>0</v>
      </c>
      <c r="T7" s="65">
        <f>100000*('Annual log'!S28/'Annual log'!S17)</f>
        <v>0</v>
      </c>
      <c r="U7" s="42">
        <f>100000*('Annual log'!T28/'Annual log'!T17)</f>
        <v>0</v>
      </c>
      <c r="V7" s="65">
        <f>100000*('Annual log'!U28/'Annual log'!U17)</f>
        <v>353.98230088495575</v>
      </c>
      <c r="W7" s="42" t="e">
        <f>100000*('Annual log'!V28/'Annual log'!V17)</f>
        <v>#DIV/0!</v>
      </c>
      <c r="X7" s="65" t="e">
        <f>100000*('Annual log'!W28/'Annual log'!W17)</f>
        <v>#DIV/0!</v>
      </c>
      <c r="Y7" s="42" t="e">
        <f>100000*('Annual log'!X28/'Annual log'!X17)</f>
        <v>#DIV/0!</v>
      </c>
      <c r="Z7" s="65" t="e">
        <f>100000*('Annual log'!Y28/'Annual log'!Y17)</f>
        <v>#DIV/0!</v>
      </c>
      <c r="AA7" s="42" t="e">
        <f>100000*('Annual log'!Z28/'Annual log'!Z17)</f>
        <v>#DIV/0!</v>
      </c>
      <c r="AB7" s="65" t="e">
        <f>100000*('Annual log'!AA28/'Annual log'!AA17)</f>
        <v>#DIV/0!</v>
      </c>
    </row>
    <row r="8" spans="1:28" ht="51" customHeight="1" x14ac:dyDescent="0.2">
      <c r="A8" s="33"/>
      <c r="B8" s="37" t="s">
        <v>46</v>
      </c>
      <c r="C8" s="75">
        <f>'Annual log'!AC10/'Annual log'!AC7</f>
        <v>0.16670713938805246</v>
      </c>
      <c r="D8" s="35">
        <f>('Annual log'!C10/'Annual log'!C7)</f>
        <v>0.1836283185840708</v>
      </c>
      <c r="E8" s="66">
        <f>('Annual log'!D10/'Annual log'!D7)</f>
        <v>0.15384615384615385</v>
      </c>
      <c r="F8" s="35">
        <f>('Annual log'!E10/'Annual log'!E7)</f>
        <v>0.19550561797752808</v>
      </c>
      <c r="G8" s="66">
        <f>('Annual log'!F10/'Annual log'!F7)</f>
        <v>0.19951338199513383</v>
      </c>
      <c r="H8" s="35">
        <f>('Annual log'!G10/'Annual log'!G7)</f>
        <v>0.18103448275862069</v>
      </c>
      <c r="I8" s="66">
        <f>('Annual log'!H10/'Annual log'!H7)</f>
        <v>0.17289719626168223</v>
      </c>
      <c r="J8" s="35">
        <f>('Annual log'!I10/'Annual log'!I7)</f>
        <v>0.18457943925233644</v>
      </c>
      <c r="K8" s="66">
        <f>('Annual log'!J10/'Annual log'!J7)</f>
        <v>0.17647058823529413</v>
      </c>
      <c r="L8" s="35">
        <f>('Annual log'!K10/'Annual log'!K7)</f>
        <v>0.15631691648822268</v>
      </c>
      <c r="M8" s="66">
        <f>('Annual log'!L10/'Annual log'!L7)</f>
        <v>0.1407035175879397</v>
      </c>
      <c r="N8" s="35">
        <f>('Annual log'!M10/'Annual log'!M7)</f>
        <v>0.17754569190600522</v>
      </c>
      <c r="O8" s="66">
        <f>('Annual log'!N10/'Annual log'!N7)</f>
        <v>0.1791767554479419</v>
      </c>
      <c r="P8" s="219">
        <f>'Annual log'!AB10/'Annual log'!AB7</f>
        <v>0.15287826360490719</v>
      </c>
      <c r="Q8" s="35">
        <f>('Annual log'!P10/'Annual log'!P7)</f>
        <v>0.1471861471861472</v>
      </c>
      <c r="R8" s="66">
        <f>('Annual log'!Q10/'Annual log'!Q7)</f>
        <v>0.14629258517034069</v>
      </c>
      <c r="S8" s="35">
        <f>('Annual log'!R10/'Annual log'!R7)</f>
        <v>0.14538310412573674</v>
      </c>
      <c r="T8" s="66">
        <f>('Annual log'!S10/'Annual log'!S7)</f>
        <v>0.14814814814814814</v>
      </c>
      <c r="U8" s="35">
        <f>('Annual log'!T10/'Annual log'!T7)</f>
        <v>0.15886287625418061</v>
      </c>
      <c r="V8" s="66">
        <f>('Annual log'!U10/'Annual log'!U7)</f>
        <v>0.1681260945709282</v>
      </c>
      <c r="W8" s="35" t="e">
        <f>('Annual log'!V10/'Annual log'!V7)</f>
        <v>#DIV/0!</v>
      </c>
      <c r="X8" s="66" t="e">
        <f>('Annual log'!W10/'Annual log'!W7)</f>
        <v>#DIV/0!</v>
      </c>
      <c r="Y8" s="35" t="e">
        <f>('Annual log'!X10/'Annual log'!X7)</f>
        <v>#DIV/0!</v>
      </c>
      <c r="Z8" s="66" t="e">
        <f>('Annual log'!Y10/'Annual log'!Y7)</f>
        <v>#DIV/0!</v>
      </c>
      <c r="AA8" s="35" t="e">
        <f>('Annual log'!Z10/'Annual log'!Z7)</f>
        <v>#DIV/0!</v>
      </c>
      <c r="AB8" s="66" t="e">
        <f>('Annual log'!AA10/'Annual log'!AA7)</f>
        <v>#DIV/0!</v>
      </c>
    </row>
    <row r="9" spans="1:28" ht="51" customHeight="1" x14ac:dyDescent="0.2">
      <c r="A9" s="33"/>
      <c r="B9" s="38" t="s">
        <v>47</v>
      </c>
      <c r="C9" s="39">
        <f>'Annual log'!AC9/'Annual log'!AC7</f>
        <v>1.0927634774162214E-2</v>
      </c>
      <c r="D9" s="36">
        <f>'Annual log'!C9/'Annual log'!C7</f>
        <v>2.2123893805309734E-3</v>
      </c>
      <c r="E9" s="64">
        <f>'Annual log'!D9/'Annual log'!D7</f>
        <v>1.5915119363395226E-2</v>
      </c>
      <c r="F9" s="36">
        <f>'Annual log'!E9/'Annual log'!E7</f>
        <v>2.2471910112359553E-3</v>
      </c>
      <c r="G9" s="64">
        <f>'Annual log'!F9/'Annual log'!F7</f>
        <v>1.9464720194647202E-2</v>
      </c>
      <c r="H9" s="36">
        <f>'Annual log'!G9/'Annual log'!G7</f>
        <v>8.6206896551724137E-3</v>
      </c>
      <c r="I9" s="64">
        <f>'Annual log'!H9/'Annual log'!H7</f>
        <v>4.6728971962616819E-3</v>
      </c>
      <c r="J9" s="36">
        <f>'Annual log'!I9/'Annual log'!I7</f>
        <v>1.6355140186915886E-2</v>
      </c>
      <c r="K9" s="64">
        <f>'Annual log'!J9/'Annual log'!J7</f>
        <v>1.0230179028132993E-2</v>
      </c>
      <c r="L9" s="36">
        <f>'Annual log'!K9/'Annual log'!K7</f>
        <v>8.5653104925053538E-3</v>
      </c>
      <c r="M9" s="64">
        <f>'Annual log'!L9/'Annual log'!L7</f>
        <v>7.537688442211055E-3</v>
      </c>
      <c r="N9" s="36">
        <f>'Annual log'!M9/'Annual log'!M7</f>
        <v>1.3054830287206266E-2</v>
      </c>
      <c r="O9" s="64">
        <f>'Annual log'!N9/'Annual log'!N7</f>
        <v>0</v>
      </c>
      <c r="P9" s="222">
        <f>'Annual log'!AB9/'Annual log'!AB7</f>
        <v>1.4155394778232149E-2</v>
      </c>
      <c r="Q9" s="36">
        <f>'Annual log'!P9/'Annual log'!P7</f>
        <v>2.1645021645021645E-3</v>
      </c>
      <c r="R9" s="64">
        <f>'Annual log'!Q9/'Annual log'!Q7</f>
        <v>1.6032064128256512E-2</v>
      </c>
      <c r="S9" s="36">
        <f>'Annual log'!R9/'Annual log'!R7</f>
        <v>3.929273084479371E-3</v>
      </c>
      <c r="T9" s="64">
        <f>'Annual log'!S9/'Annual log'!S7</f>
        <v>2.4074074074074074E-2</v>
      </c>
      <c r="U9" s="36">
        <f>'Annual log'!T9/'Annual log'!T7</f>
        <v>2.508361204013378E-2</v>
      </c>
      <c r="V9" s="64">
        <f>'Annual log'!U9/'Annual log'!U7</f>
        <v>1.0507880910683012E-2</v>
      </c>
      <c r="W9" s="36" t="e">
        <f>'Annual log'!V9/'Annual log'!V7</f>
        <v>#DIV/0!</v>
      </c>
      <c r="X9" s="64" t="e">
        <f>'Annual log'!W9/'Annual log'!W7</f>
        <v>#DIV/0!</v>
      </c>
      <c r="Y9" s="36" t="e">
        <f>'Annual log'!X9/'Annual log'!X7</f>
        <v>#DIV/0!</v>
      </c>
      <c r="Z9" s="64" t="e">
        <f>'Annual log'!Y9/'Annual log'!Y7</f>
        <v>#DIV/0!</v>
      </c>
      <c r="AA9" s="36" t="e">
        <f>'Annual log'!Z9/'Annual log'!Z7</f>
        <v>#DIV/0!</v>
      </c>
      <c r="AB9" s="64" t="e">
        <f>'Annual log'!AA9/'Annual log'!AA7</f>
        <v>#DIV/0!</v>
      </c>
    </row>
    <row r="10" spans="1:28" ht="51" customHeight="1" x14ac:dyDescent="0.2">
      <c r="A10" s="33"/>
      <c r="B10" s="37" t="s">
        <v>48</v>
      </c>
      <c r="C10" s="75">
        <f>'Annual log'!AC22/'Annual log'!AC17</f>
        <v>0.10748866282632676</v>
      </c>
      <c r="D10" s="35">
        <f>'Annual log'!C22/'Annual log'!C17</f>
        <v>6.6059225512528477E-2</v>
      </c>
      <c r="E10" s="66">
        <f>'Annual log'!D22/'Annual log'!D17</f>
        <v>0.10962566844919786</v>
      </c>
      <c r="F10" s="35">
        <f>'Annual log'!E22/'Annual log'!E17</f>
        <v>0.14285714285714285</v>
      </c>
      <c r="G10" s="66">
        <f>'Annual log'!F22/'Annual log'!F17</f>
        <v>0.15144230769230768</v>
      </c>
      <c r="H10" s="35">
        <f>'Annual log'!G22/'Annual log'!G17</f>
        <v>0.11062906724511931</v>
      </c>
      <c r="I10" s="66">
        <f>'Annual log'!H22/'Annual log'!H17</f>
        <v>7.2941176470588232E-2</v>
      </c>
      <c r="J10" s="35">
        <f>'Annual log'!I22/'Annual log'!I17</f>
        <v>0.12383177570093458</v>
      </c>
      <c r="K10" s="66">
        <f>'Annual log'!J22/'Annual log'!J17</f>
        <v>0.14248021108179421</v>
      </c>
      <c r="L10" s="35">
        <f>'Annual log'!K22/'Annual log'!K17</f>
        <v>9.6774193548387094E-2</v>
      </c>
      <c r="M10" s="66">
        <f>'Annual log'!L22/'Annual log'!L17</f>
        <v>4.9868766404199474E-2</v>
      </c>
      <c r="N10" s="35">
        <f>'Annual log'!M22/'Annual log'!M17</f>
        <v>0.13756613756613756</v>
      </c>
      <c r="O10" s="66">
        <f>'Annual log'!N22/'Annual log'!N17</f>
        <v>9.9762470308788598E-2</v>
      </c>
      <c r="P10" s="219">
        <f>'Annual log'!AB22/'Annual log'!AB17</f>
        <v>0.10599809584258965</v>
      </c>
      <c r="Q10" s="35">
        <f>'Annual log'!P22/'Annual log'!P17</f>
        <v>9.0507726269315678E-2</v>
      </c>
      <c r="R10" s="66">
        <f>'Annual log'!Q22/'Annual log'!Q17</f>
        <v>0.15643564356435644</v>
      </c>
      <c r="S10" s="35">
        <f>'Annual log'!R22/'Annual log'!R17</f>
        <v>0.12</v>
      </c>
      <c r="T10" s="66">
        <f>'Annual log'!S22/'Annual log'!S17</f>
        <v>8.2551594746716694E-2</v>
      </c>
      <c r="U10" s="35">
        <f>'Annual log'!T22/'Annual log'!T17</f>
        <v>9.4117647058823528E-2</v>
      </c>
      <c r="V10" s="66">
        <f>'Annual log'!U22/'Annual log'!U17</f>
        <v>9.5575221238938052E-2</v>
      </c>
      <c r="W10" s="35" t="e">
        <f>'Annual log'!V22/'Annual log'!V17</f>
        <v>#DIV/0!</v>
      </c>
      <c r="X10" s="66" t="e">
        <f>'Annual log'!W22/'Annual log'!W17</f>
        <v>#DIV/0!</v>
      </c>
      <c r="Y10" s="35" t="e">
        <f>'Annual log'!X22/'Annual log'!X17</f>
        <v>#DIV/0!</v>
      </c>
      <c r="Z10" s="66" t="e">
        <f>'Annual log'!Y22/'Annual log'!Y17</f>
        <v>#DIV/0!</v>
      </c>
      <c r="AA10" s="35" t="e">
        <f>'Annual log'!Z22/'Annual log'!Z17</f>
        <v>#DIV/0!</v>
      </c>
      <c r="AB10" s="66" t="e">
        <f>'Annual log'!AA22/'Annual log'!AA17</f>
        <v>#DIV/0!</v>
      </c>
    </row>
    <row r="11" spans="1:28" ht="51" customHeight="1" x14ac:dyDescent="0.2">
      <c r="A11" s="33"/>
      <c r="B11" s="58" t="s">
        <v>49</v>
      </c>
      <c r="C11" s="59">
        <f>'Annual log'!AC19/'Annual log'!AC17</f>
        <v>2.1693835028802549E-2</v>
      </c>
      <c r="D11" s="60">
        <f>'Annual log'!C19/'Annual log'!C17</f>
        <v>0</v>
      </c>
      <c r="E11" s="67">
        <f>'Annual log'!D19/'Annual log'!D17</f>
        <v>0</v>
      </c>
      <c r="F11" s="60">
        <f>'Annual log'!E19/'Annual log'!E17</f>
        <v>0</v>
      </c>
      <c r="G11" s="67">
        <f>'Annual log'!F19/'Annual log'!F17</f>
        <v>0</v>
      </c>
      <c r="H11" s="60">
        <f>'Annual log'!G19/'Annual log'!G17</f>
        <v>0</v>
      </c>
      <c r="I11" s="67">
        <f>'Annual log'!H19/'Annual log'!H17</f>
        <v>0</v>
      </c>
      <c r="J11" s="60">
        <f>'Annual log'!I19/'Annual log'!I17</f>
        <v>4.9065420560747662E-2</v>
      </c>
      <c r="K11" s="67">
        <f>'Annual log'!J19/'Annual log'!J17</f>
        <v>0</v>
      </c>
      <c r="L11" s="60">
        <f>'Annual log'!K19/'Annual log'!K17</f>
        <v>1.935483870967742E-2</v>
      </c>
      <c r="M11" s="67">
        <f>'Annual log'!L19/'Annual log'!L17</f>
        <v>4.4619422572178477E-2</v>
      </c>
      <c r="N11" s="60">
        <f>'Annual log'!M19/'Annual log'!M17</f>
        <v>4.2328042328042326E-2</v>
      </c>
      <c r="O11" s="67">
        <f>'Annual log'!N19/'Annual log'!N17</f>
        <v>3.3254156769596199E-2</v>
      </c>
      <c r="P11" s="221">
        <f>'Annual log'!AB19/'Annual log'!AB17</f>
        <v>3.1735956839098696E-2</v>
      </c>
      <c r="Q11" s="60">
        <f>'Annual log'!P19/'Annual log'!P17</f>
        <v>3.5320088300220751E-2</v>
      </c>
      <c r="R11" s="67">
        <f>'Annual log'!Q19/'Annual log'!Q17</f>
        <v>2.3762376237623763E-2</v>
      </c>
      <c r="S11" s="60">
        <f>'Annual log'!R19/'Annual log'!R17</f>
        <v>3.5999999999999997E-2</v>
      </c>
      <c r="T11" s="67">
        <f>'Annual log'!S19/'Annual log'!S17</f>
        <v>3.0018761726078799E-2</v>
      </c>
      <c r="U11" s="60">
        <f>'Annual log'!T19/'Annual log'!T17</f>
        <v>3.3613445378151259E-2</v>
      </c>
      <c r="V11" s="67">
        <f>'Annual log'!U19/'Annual log'!U17</f>
        <v>3.1858407079646017E-2</v>
      </c>
      <c r="W11" s="60" t="e">
        <f>'Annual log'!V19/'Annual log'!V17</f>
        <v>#DIV/0!</v>
      </c>
      <c r="X11" s="67" t="e">
        <f>'Annual log'!W19/'Annual log'!W17</f>
        <v>#DIV/0!</v>
      </c>
      <c r="Y11" s="60" t="e">
        <f>'Annual log'!X19/'Annual log'!X17</f>
        <v>#DIV/0!</v>
      </c>
      <c r="Z11" s="67" t="e">
        <f>'Annual log'!Y19/'Annual log'!Y17</f>
        <v>#DIV/0!</v>
      </c>
      <c r="AA11" s="60" t="e">
        <f>'Annual log'!Z19/'Annual log'!Z17</f>
        <v>#DIV/0!</v>
      </c>
      <c r="AB11" s="67" t="e">
        <f>'Annual log'!AA19/'Annual log'!AA17</f>
        <v>#DIV/0!</v>
      </c>
    </row>
    <row r="12" spans="1:28" ht="51" customHeight="1" x14ac:dyDescent="0.2">
      <c r="A12" s="33"/>
      <c r="B12" s="61" t="s">
        <v>56</v>
      </c>
      <c r="C12" s="75">
        <f>'Annual log'!AC26/'Annual log'!AC25</f>
        <v>0.79831932773109249</v>
      </c>
      <c r="D12" s="62">
        <f>'Annual log'!C26/'Annual log'!C25</f>
        <v>0.6</v>
      </c>
      <c r="E12" s="68">
        <f>'Annual log'!D26/'Annual log'!D25</f>
        <v>0.8571428571428571</v>
      </c>
      <c r="F12" s="62">
        <f>'Annual log'!E26/'Annual log'!E25</f>
        <v>0.625</v>
      </c>
      <c r="G12" s="68">
        <f>'Annual log'!F26/'Annual log'!F25</f>
        <v>0.7</v>
      </c>
      <c r="H12" s="62">
        <f>'Annual log'!G26/'Annual log'!G25</f>
        <v>1</v>
      </c>
      <c r="I12" s="68">
        <f>'Annual log'!H26/'Annual log'!H25</f>
        <v>0.6</v>
      </c>
      <c r="J12" s="62">
        <f>'Annual log'!I26/'Annual log'!I25</f>
        <v>1</v>
      </c>
      <c r="K12" s="68">
        <f>'Annual log'!J26/'Annual log'!J25</f>
        <v>1</v>
      </c>
      <c r="L12" s="62">
        <f>'Annual log'!K26/'Annual log'!K25</f>
        <v>1</v>
      </c>
      <c r="M12" s="68">
        <f>'Annual log'!L26/'Annual log'!L25</f>
        <v>0.83333333333333337</v>
      </c>
      <c r="N12" s="62">
        <f>'Annual log'!M26/'Annual log'!M25</f>
        <v>0.75</v>
      </c>
      <c r="O12" s="68">
        <f>'Annual log'!N26/'Annual log'!N25</f>
        <v>0.77777777777777779</v>
      </c>
      <c r="P12" s="219">
        <f>'Annual log'!AB26/'Annual log'!AB25</f>
        <v>0.83673469387755106</v>
      </c>
      <c r="Q12" s="62">
        <f>'Annual log'!P26/'Annual log'!P25</f>
        <v>0.66666666666666663</v>
      </c>
      <c r="R12" s="68">
        <f>'Annual log'!Q26/'Annual log'!Q25</f>
        <v>0.7142857142857143</v>
      </c>
      <c r="S12" s="62">
        <f>'Annual log'!R26/'Annual log'!R25</f>
        <v>0.8</v>
      </c>
      <c r="T12" s="68">
        <f>'Annual log'!S26/'Annual log'!S25</f>
        <v>1</v>
      </c>
      <c r="U12" s="62">
        <f>'Annual log'!T26/'Annual log'!T25</f>
        <v>0.90909090909090906</v>
      </c>
      <c r="V12" s="68">
        <f>'Annual log'!U26/'Annual log'!U25</f>
        <v>0.8666666666666667</v>
      </c>
      <c r="W12" s="62" t="e">
        <f>'Annual log'!V26/'Annual log'!V25</f>
        <v>#DIV/0!</v>
      </c>
      <c r="X12" s="68" t="e">
        <f>'Annual log'!W26/'Annual log'!W25</f>
        <v>#DIV/0!</v>
      </c>
      <c r="Y12" s="62" t="e">
        <f>'Annual log'!X26/'Annual log'!X25</f>
        <v>#DIV/0!</v>
      </c>
      <c r="Z12" s="68" t="e">
        <f>'Annual log'!Y26/'Annual log'!Y25</f>
        <v>#DIV/0!</v>
      </c>
      <c r="AA12" s="62" t="e">
        <f>'Annual log'!Z26/'Annual log'!Z25</f>
        <v>#DIV/0!</v>
      </c>
      <c r="AB12" s="68" t="e">
        <f>'Annual log'!AA26/'Annual log'!AA25</f>
        <v>#DIV/0!</v>
      </c>
    </row>
    <row r="13" spans="1:28" ht="22" thickBot="1" x14ac:dyDescent="0.3">
      <c r="Q13" s="12"/>
      <c r="R13" s="12"/>
      <c r="S13" s="12"/>
      <c r="T13" s="12"/>
      <c r="U13" s="12"/>
      <c r="V13" s="12"/>
      <c r="W13" s="12"/>
      <c r="X13" s="12"/>
      <c r="Y13" s="12"/>
      <c r="Z13" s="12"/>
      <c r="AA13" s="12"/>
      <c r="AB13" s="12"/>
    </row>
    <row r="14" spans="1:28" ht="27" thickBot="1" x14ac:dyDescent="0.25">
      <c r="A14" s="255" t="s">
        <v>40</v>
      </c>
      <c r="B14" s="256"/>
      <c r="C14" s="43" t="s">
        <v>54</v>
      </c>
      <c r="D14" s="186">
        <v>43466</v>
      </c>
      <c r="E14" s="187">
        <v>43497</v>
      </c>
      <c r="F14" s="188">
        <v>43525</v>
      </c>
      <c r="G14" s="189">
        <v>43556</v>
      </c>
      <c r="H14" s="190">
        <v>43586</v>
      </c>
      <c r="I14" s="191">
        <v>43617</v>
      </c>
      <c r="J14" s="192">
        <v>43647</v>
      </c>
      <c r="K14" s="193">
        <v>43678</v>
      </c>
      <c r="L14" s="194">
        <v>43709</v>
      </c>
      <c r="M14" s="195">
        <v>43739</v>
      </c>
      <c r="N14" s="196">
        <v>43770</v>
      </c>
      <c r="O14" s="197">
        <v>43800</v>
      </c>
      <c r="P14" s="224"/>
      <c r="Q14" s="186">
        <v>43831</v>
      </c>
      <c r="R14" s="187">
        <v>43862</v>
      </c>
      <c r="S14" s="188">
        <v>43891</v>
      </c>
      <c r="T14" s="189">
        <v>43922</v>
      </c>
      <c r="U14" s="190">
        <v>43952</v>
      </c>
      <c r="V14" s="191">
        <v>43983</v>
      </c>
      <c r="W14" s="192">
        <v>44013</v>
      </c>
      <c r="X14" s="193">
        <v>44044</v>
      </c>
      <c r="Y14" s="194">
        <v>44075</v>
      </c>
      <c r="Z14" s="195">
        <v>44105</v>
      </c>
      <c r="AA14" s="196">
        <v>44136</v>
      </c>
      <c r="AB14" s="197">
        <v>44166</v>
      </c>
    </row>
    <row r="15" spans="1:28" ht="22" thickBot="1" x14ac:dyDescent="0.3">
      <c r="B15" s="72" t="s">
        <v>53</v>
      </c>
      <c r="C15" s="70">
        <f>'Annual log'!AC28</f>
        <v>20</v>
      </c>
      <c r="D15" s="73">
        <f>'Annual log'!C28</f>
        <v>0</v>
      </c>
      <c r="E15" s="73">
        <f>'Annual log'!D28</f>
        <v>2</v>
      </c>
      <c r="F15" s="73">
        <f>'Annual log'!E28</f>
        <v>2</v>
      </c>
      <c r="G15" s="73">
        <f>'Annual log'!F28</f>
        <v>1</v>
      </c>
      <c r="H15" s="73">
        <f>'Annual log'!G28</f>
        <v>3</v>
      </c>
      <c r="I15" s="73">
        <f>'Annual log'!H28</f>
        <v>1</v>
      </c>
      <c r="J15" s="73">
        <f>'Annual log'!I28</f>
        <v>1</v>
      </c>
      <c r="K15" s="73">
        <f>'Annual log'!J28</f>
        <v>2</v>
      </c>
      <c r="L15" s="73">
        <f>'Annual log'!K28</f>
        <v>2</v>
      </c>
      <c r="M15" s="73">
        <f>'Annual log'!L28</f>
        <v>1</v>
      </c>
      <c r="N15" s="73">
        <f>'Annual log'!M28</f>
        <v>0</v>
      </c>
      <c r="O15" s="73">
        <f>'Annual log'!N28</f>
        <v>1</v>
      </c>
      <c r="P15" s="220">
        <f>'Annual log'!AB28</f>
        <v>4</v>
      </c>
      <c r="Q15" s="73">
        <f>'Annual log'!P28</f>
        <v>1</v>
      </c>
      <c r="R15" s="73">
        <f>'Annual log'!Q28</f>
        <v>1</v>
      </c>
      <c r="S15" s="73">
        <f>'Annual log'!R28</f>
        <v>0</v>
      </c>
      <c r="T15" s="73">
        <f>'Annual log'!S28</f>
        <v>0</v>
      </c>
      <c r="U15" s="73">
        <f>'Annual log'!T28</f>
        <v>0</v>
      </c>
      <c r="V15" s="73">
        <f>'Annual log'!U28</f>
        <v>2</v>
      </c>
      <c r="W15" s="73">
        <f>'Annual log'!V28</f>
        <v>0</v>
      </c>
      <c r="X15" s="73">
        <f>'Annual log'!W28</f>
        <v>0</v>
      </c>
      <c r="Y15" s="73">
        <f>'Annual log'!X28</f>
        <v>0</v>
      </c>
      <c r="Z15" s="73">
        <f>'Annual log'!Y28</f>
        <v>0</v>
      </c>
      <c r="AA15" s="73">
        <f>'Annual log'!Z28</f>
        <v>0</v>
      </c>
      <c r="AB15" s="73">
        <f>'Annual log'!AA28</f>
        <v>0</v>
      </c>
    </row>
    <row r="19" spans="2:16" s="228" customFormat="1" x14ac:dyDescent="0.25">
      <c r="B19" s="225" t="s">
        <v>93</v>
      </c>
      <c r="C19" s="226">
        <f>1-C22</f>
        <v>0.82236522583778537</v>
      </c>
      <c r="D19" s="227"/>
      <c r="E19" s="227"/>
      <c r="F19" s="227"/>
      <c r="G19" s="227"/>
      <c r="H19" s="227"/>
      <c r="I19" s="227"/>
      <c r="J19" s="227"/>
      <c r="K19" s="227"/>
      <c r="L19" s="227"/>
      <c r="M19" s="227"/>
      <c r="N19" s="227"/>
      <c r="O19" s="225" t="s">
        <v>93</v>
      </c>
      <c r="P19" s="226">
        <f>1-P22</f>
        <v>0.83296634161686067</v>
      </c>
    </row>
    <row r="20" spans="2:16" s="228" customFormat="1" x14ac:dyDescent="0.25">
      <c r="B20" s="225" t="s">
        <v>24</v>
      </c>
      <c r="C20" s="229">
        <f>C9</f>
        <v>1.0927634774162214E-2</v>
      </c>
      <c r="D20" s="227"/>
      <c r="E20" s="227"/>
      <c r="F20" s="227"/>
      <c r="G20" s="227"/>
      <c r="H20" s="227"/>
      <c r="I20" s="227"/>
      <c r="J20" s="227"/>
      <c r="K20" s="227"/>
      <c r="L20" s="227"/>
      <c r="M20" s="227"/>
      <c r="N20" s="227"/>
      <c r="O20" s="225" t="s">
        <v>24</v>
      </c>
      <c r="P20" s="229">
        <f>P9</f>
        <v>1.4155394778232149E-2</v>
      </c>
    </row>
    <row r="21" spans="2:16" s="228" customFormat="1" x14ac:dyDescent="0.25">
      <c r="B21" s="225" t="s">
        <v>94</v>
      </c>
      <c r="C21" s="229">
        <f>C8</f>
        <v>0.16670713938805246</v>
      </c>
      <c r="D21" s="227"/>
      <c r="E21" s="227"/>
      <c r="F21" s="227"/>
      <c r="G21" s="227"/>
      <c r="H21" s="227"/>
      <c r="I21" s="227"/>
      <c r="J21" s="227"/>
      <c r="K21" s="227"/>
      <c r="L21" s="227"/>
      <c r="M21" s="227"/>
      <c r="N21" s="227"/>
      <c r="O21" s="225" t="s">
        <v>94</v>
      </c>
      <c r="P21" s="229">
        <f>P8</f>
        <v>0.15287826360490719</v>
      </c>
    </row>
    <row r="22" spans="2:16" s="228" customFormat="1" x14ac:dyDescent="0.25">
      <c r="B22" s="225"/>
      <c r="C22" s="229">
        <f>C20+C21</f>
        <v>0.17763477416221468</v>
      </c>
      <c r="D22" s="227"/>
      <c r="E22" s="227"/>
      <c r="F22" s="227"/>
      <c r="G22" s="227"/>
      <c r="H22" s="227"/>
      <c r="I22" s="227"/>
      <c r="J22" s="227"/>
      <c r="K22" s="227"/>
      <c r="L22" s="227"/>
      <c r="M22" s="227"/>
      <c r="N22" s="227"/>
      <c r="O22" s="227"/>
      <c r="P22" s="229">
        <f>P20+P21</f>
        <v>0.16703365838313936</v>
      </c>
    </row>
    <row r="23" spans="2:16" s="228" customFormat="1" x14ac:dyDescent="0.25">
      <c r="B23" s="225"/>
      <c r="C23" s="227"/>
      <c r="D23" s="227"/>
      <c r="E23" s="227"/>
      <c r="F23" s="227"/>
      <c r="G23" s="227"/>
      <c r="H23" s="227"/>
      <c r="I23" s="227"/>
      <c r="J23" s="227"/>
      <c r="K23" s="227"/>
      <c r="L23" s="227"/>
      <c r="M23" s="227"/>
      <c r="N23" s="227"/>
      <c r="O23" s="227"/>
      <c r="P23" s="227"/>
    </row>
  </sheetData>
  <mergeCells count="1">
    <mergeCell ref="A14:B14"/>
  </mergeCells>
  <hyperlinks>
    <hyperlink ref="A2" location="Navigation!A1" display="Home"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Z50"/>
  <sheetViews>
    <sheetView zoomScale="80" zoomScaleNormal="80" workbookViewId="0">
      <selection activeCell="B1" sqref="A1:XFD1048576"/>
    </sheetView>
  </sheetViews>
  <sheetFormatPr baseColWidth="10" defaultColWidth="10.6640625" defaultRowHeight="16" x14ac:dyDescent="0.2"/>
  <sheetData>
    <row r="1" spans="1:26" ht="26" x14ac:dyDescent="0.2">
      <c r="A1" s="81" t="s">
        <v>57</v>
      </c>
      <c r="B1" s="76"/>
      <c r="C1" s="76"/>
      <c r="D1" s="76"/>
      <c r="E1" s="76"/>
      <c r="F1" s="76"/>
      <c r="G1" s="76"/>
      <c r="H1" s="76"/>
      <c r="I1" s="76"/>
      <c r="J1" s="76"/>
      <c r="K1" s="76"/>
      <c r="L1" s="76"/>
      <c r="M1" s="76"/>
      <c r="N1" s="76"/>
      <c r="O1" s="76"/>
      <c r="P1" s="76"/>
      <c r="Q1" s="76"/>
      <c r="R1" s="76"/>
      <c r="S1" s="76"/>
      <c r="T1" s="76"/>
      <c r="U1" s="76"/>
      <c r="V1" s="76"/>
      <c r="W1" s="76"/>
      <c r="X1" s="76"/>
      <c r="Y1" s="76"/>
      <c r="Z1" s="76"/>
    </row>
    <row r="2" spans="1:26" x14ac:dyDescent="0.2">
      <c r="A2" s="76"/>
      <c r="B2" s="76"/>
      <c r="C2" s="76"/>
      <c r="D2" s="76"/>
      <c r="E2" s="76"/>
      <c r="F2" s="76"/>
      <c r="G2" s="76"/>
      <c r="H2" s="76"/>
      <c r="I2" s="76"/>
      <c r="J2" s="76"/>
      <c r="K2" s="76"/>
      <c r="L2" s="76"/>
      <c r="M2" s="76"/>
      <c r="N2" s="76"/>
      <c r="O2" s="76"/>
      <c r="P2" s="76"/>
      <c r="Q2" s="76"/>
      <c r="R2" s="76"/>
      <c r="S2" s="76"/>
      <c r="T2" s="76"/>
      <c r="U2" s="76"/>
      <c r="V2" s="76"/>
      <c r="W2" s="76"/>
      <c r="X2" s="76"/>
      <c r="Y2" s="76"/>
      <c r="Z2" s="76"/>
    </row>
    <row r="3" spans="1:26" x14ac:dyDescent="0.2">
      <c r="A3" s="76"/>
      <c r="B3" s="76"/>
      <c r="C3" s="76"/>
      <c r="D3" s="76"/>
      <c r="E3" s="76"/>
      <c r="F3" s="76"/>
      <c r="G3" s="76"/>
      <c r="H3" s="76"/>
      <c r="I3" s="76"/>
      <c r="J3" s="76"/>
      <c r="K3" s="76"/>
      <c r="L3" s="76"/>
      <c r="M3" s="76"/>
      <c r="N3" s="76"/>
      <c r="O3" s="76"/>
      <c r="P3" s="76"/>
      <c r="Q3" s="76"/>
      <c r="R3" s="76"/>
      <c r="S3" s="76"/>
      <c r="T3" s="76"/>
      <c r="U3" s="76"/>
      <c r="V3" s="76"/>
      <c r="W3" s="76"/>
      <c r="X3" s="76"/>
      <c r="Y3" s="76"/>
      <c r="Z3" s="76"/>
    </row>
    <row r="4" spans="1:26" x14ac:dyDescent="0.2">
      <c r="A4" s="76"/>
      <c r="B4" s="76"/>
      <c r="C4" s="76"/>
      <c r="D4" s="76"/>
      <c r="E4" s="76"/>
      <c r="F4" s="76"/>
      <c r="G4" s="76"/>
      <c r="H4" s="76"/>
      <c r="I4" s="76"/>
      <c r="J4" s="76"/>
      <c r="K4" s="76"/>
      <c r="L4" s="76"/>
      <c r="M4" s="76"/>
      <c r="N4" s="76"/>
      <c r="O4" s="76"/>
      <c r="P4" s="76"/>
      <c r="Q4" s="76"/>
      <c r="R4" s="76"/>
      <c r="S4" s="76"/>
      <c r="T4" s="76"/>
      <c r="U4" s="76"/>
      <c r="V4" s="76"/>
      <c r="W4" s="76"/>
      <c r="X4" s="76"/>
      <c r="Y4" s="76"/>
      <c r="Z4" s="76"/>
    </row>
    <row r="5" spans="1:26" x14ac:dyDescent="0.2">
      <c r="A5" s="76"/>
      <c r="B5" s="76"/>
      <c r="C5" s="76"/>
      <c r="D5" s="76"/>
      <c r="E5" s="76"/>
      <c r="F5" s="76"/>
      <c r="G5" s="76"/>
      <c r="H5" s="76"/>
      <c r="I5" s="76"/>
      <c r="J5" s="76"/>
      <c r="K5" s="76"/>
      <c r="L5" s="76"/>
      <c r="M5" s="76"/>
      <c r="N5" s="76"/>
      <c r="O5" s="76"/>
      <c r="P5" s="76"/>
      <c r="Q5" s="76"/>
      <c r="R5" s="76"/>
      <c r="S5" s="76"/>
      <c r="T5" s="76"/>
      <c r="U5" s="76"/>
      <c r="V5" s="76"/>
      <c r="W5" s="76"/>
      <c r="X5" s="76"/>
      <c r="Y5" s="76"/>
      <c r="Z5" s="76"/>
    </row>
    <row r="6" spans="1:26" x14ac:dyDescent="0.2">
      <c r="A6" s="76"/>
      <c r="B6" s="76"/>
      <c r="C6" s="76"/>
      <c r="D6" s="76"/>
      <c r="E6" s="76"/>
      <c r="F6" s="76"/>
      <c r="G6" s="76"/>
      <c r="H6" s="76"/>
      <c r="I6" s="76"/>
      <c r="J6" s="76"/>
      <c r="K6" s="76"/>
      <c r="L6" s="76"/>
      <c r="M6" s="76"/>
      <c r="N6" s="76"/>
      <c r="O6" s="76"/>
      <c r="P6" s="76"/>
      <c r="Q6" s="76"/>
      <c r="R6" s="76"/>
      <c r="S6" s="76"/>
      <c r="T6" s="76"/>
      <c r="U6" s="76"/>
      <c r="V6" s="76"/>
      <c r="W6" s="76"/>
      <c r="X6" s="76"/>
      <c r="Y6" s="76"/>
      <c r="Z6" s="76"/>
    </row>
    <row r="7" spans="1:26" x14ac:dyDescent="0.2">
      <c r="A7" s="76"/>
      <c r="B7" s="76"/>
      <c r="C7" s="76"/>
      <c r="D7" s="76"/>
      <c r="E7" s="76"/>
      <c r="F7" s="76"/>
      <c r="G7" s="76"/>
      <c r="H7" s="76"/>
      <c r="I7" s="76"/>
      <c r="J7" s="76"/>
      <c r="K7" s="76"/>
      <c r="L7" s="76"/>
      <c r="M7" s="76"/>
      <c r="N7" s="76"/>
      <c r="O7" s="76"/>
      <c r="P7" s="76"/>
      <c r="Q7" s="76"/>
      <c r="R7" s="76"/>
      <c r="S7" s="76"/>
      <c r="T7" s="76"/>
      <c r="U7" s="76"/>
      <c r="V7" s="76"/>
      <c r="W7" s="76"/>
      <c r="X7" s="76"/>
      <c r="Y7" s="76"/>
      <c r="Z7" s="76"/>
    </row>
    <row r="8" spans="1:26" x14ac:dyDescent="0.2">
      <c r="A8" s="76"/>
      <c r="B8" s="76"/>
      <c r="C8" s="76"/>
      <c r="D8" s="76"/>
      <c r="E8" s="76"/>
      <c r="F8" s="76"/>
      <c r="G8" s="76"/>
      <c r="H8" s="76"/>
      <c r="I8" s="76"/>
      <c r="J8" s="76"/>
      <c r="K8" s="76"/>
      <c r="L8" s="76"/>
      <c r="M8" s="76"/>
      <c r="N8" s="76"/>
      <c r="O8" s="76"/>
      <c r="P8" s="76"/>
      <c r="Q8" s="76"/>
      <c r="R8" s="76"/>
      <c r="S8" s="76"/>
      <c r="T8" s="76"/>
      <c r="U8" s="76"/>
      <c r="V8" s="76"/>
      <c r="W8" s="76"/>
      <c r="X8" s="76"/>
      <c r="Y8" s="76"/>
      <c r="Z8" s="76"/>
    </row>
    <row r="9" spans="1:26" x14ac:dyDescent="0.2">
      <c r="A9" s="76"/>
      <c r="B9" s="76"/>
      <c r="C9" s="76"/>
      <c r="D9" s="76"/>
      <c r="E9" s="76"/>
      <c r="F9" s="76"/>
      <c r="G9" s="76"/>
      <c r="H9" s="76"/>
      <c r="I9" s="76"/>
      <c r="J9" s="76"/>
      <c r="K9" s="76"/>
      <c r="L9" s="76"/>
      <c r="M9" s="76"/>
      <c r="N9" s="76"/>
      <c r="O9" s="76"/>
      <c r="P9" s="76"/>
      <c r="Q9" s="76"/>
      <c r="R9" s="76"/>
      <c r="S9" s="76"/>
      <c r="T9" s="76"/>
      <c r="U9" s="76"/>
      <c r="V9" s="76"/>
      <c r="W9" s="76"/>
      <c r="X9" s="76"/>
      <c r="Y9" s="76"/>
      <c r="Z9" s="76"/>
    </row>
    <row r="10" spans="1:26" x14ac:dyDescent="0.2">
      <c r="A10" s="76"/>
      <c r="B10" s="76"/>
      <c r="C10" s="76"/>
      <c r="D10" s="76"/>
      <c r="E10" s="76"/>
      <c r="F10" s="76"/>
      <c r="G10" s="76"/>
      <c r="H10" s="76"/>
      <c r="I10" s="76"/>
      <c r="J10" s="76"/>
      <c r="K10" s="76"/>
      <c r="L10" s="76"/>
      <c r="M10" s="76"/>
      <c r="N10" s="76"/>
      <c r="O10" s="76"/>
      <c r="P10" s="76"/>
      <c r="Q10" s="76"/>
      <c r="R10" s="76"/>
      <c r="S10" s="76"/>
      <c r="T10" s="76"/>
      <c r="U10" s="76"/>
      <c r="V10" s="76"/>
      <c r="W10" s="76"/>
      <c r="X10" s="76"/>
      <c r="Y10" s="76"/>
      <c r="Z10" s="76"/>
    </row>
    <row r="11" spans="1:26" x14ac:dyDescent="0.2">
      <c r="A11" s="76"/>
      <c r="B11" s="76"/>
      <c r="C11" s="76"/>
      <c r="D11" s="76"/>
      <c r="E11" s="76"/>
      <c r="F11" s="76"/>
      <c r="G11" s="76"/>
      <c r="H11" s="76"/>
      <c r="I11" s="76"/>
      <c r="J11" s="76"/>
      <c r="K11" s="76"/>
      <c r="L11" s="76"/>
      <c r="M11" s="76"/>
      <c r="N11" s="76"/>
      <c r="O11" s="76"/>
      <c r="P11" s="76"/>
      <c r="Q11" s="76"/>
      <c r="R11" s="76"/>
      <c r="S11" s="76"/>
      <c r="T11" s="76"/>
      <c r="U11" s="76"/>
      <c r="V11" s="76"/>
      <c r="W11" s="76"/>
      <c r="X11" s="76"/>
      <c r="Y11" s="76"/>
      <c r="Z11" s="76"/>
    </row>
    <row r="12" spans="1:26" x14ac:dyDescent="0.2">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row>
    <row r="13" spans="1:26" x14ac:dyDescent="0.2">
      <c r="A13" s="76"/>
      <c r="B13" s="76"/>
      <c r="C13" s="76"/>
      <c r="D13" s="76"/>
      <c r="E13" s="76"/>
      <c r="F13" s="76"/>
      <c r="G13" s="76"/>
      <c r="H13" s="76"/>
      <c r="I13" s="76"/>
      <c r="J13" s="76"/>
      <c r="K13" s="76"/>
      <c r="L13" s="76"/>
      <c r="M13" s="76"/>
      <c r="N13" s="76"/>
      <c r="O13" s="76"/>
      <c r="P13" s="76"/>
      <c r="Q13" s="76"/>
      <c r="R13" s="76"/>
      <c r="S13" s="76"/>
      <c r="T13" s="76"/>
      <c r="U13" s="76"/>
      <c r="V13" s="76"/>
      <c r="W13" s="76"/>
      <c r="X13" s="76"/>
      <c r="Y13" s="76"/>
      <c r="Z13" s="76"/>
    </row>
    <row r="14" spans="1:26" x14ac:dyDescent="0.2">
      <c r="A14" s="76"/>
      <c r="B14" s="76"/>
      <c r="C14" s="76"/>
      <c r="D14" s="76"/>
      <c r="E14" s="76"/>
      <c r="F14" s="76"/>
      <c r="G14" s="76"/>
      <c r="H14" s="76"/>
      <c r="I14" s="76"/>
      <c r="J14" s="76"/>
      <c r="K14" s="76"/>
      <c r="L14" s="76"/>
      <c r="M14" s="76"/>
      <c r="N14" s="76"/>
      <c r="O14" s="76"/>
      <c r="P14" s="76"/>
      <c r="Q14" s="76"/>
      <c r="R14" s="76"/>
      <c r="S14" s="76"/>
      <c r="T14" s="76"/>
      <c r="U14" s="76"/>
      <c r="V14" s="76"/>
      <c r="W14" s="76"/>
      <c r="X14" s="76"/>
      <c r="Y14" s="76"/>
      <c r="Z14" s="76"/>
    </row>
    <row r="15" spans="1:26" x14ac:dyDescent="0.2">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row>
    <row r="16" spans="1:26" x14ac:dyDescent="0.2">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row>
    <row r="17" spans="1:26" x14ac:dyDescent="0.2">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row>
    <row r="18" spans="1:26" x14ac:dyDescent="0.2">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spans="1:26" x14ac:dyDescent="0.2">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row>
    <row r="20" spans="1:26" x14ac:dyDescent="0.2">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row>
    <row r="21" spans="1:26" x14ac:dyDescent="0.2">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row>
    <row r="22" spans="1:26" x14ac:dyDescent="0.2">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row>
    <row r="23" spans="1:26" x14ac:dyDescent="0.2">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row>
    <row r="24" spans="1:26" x14ac:dyDescent="0.2">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row>
    <row r="25" spans="1:26" x14ac:dyDescent="0.2">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row>
    <row r="26" spans="1:26" x14ac:dyDescent="0.2">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row>
    <row r="27" spans="1:26" x14ac:dyDescent="0.2">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row>
    <row r="28" spans="1:26" x14ac:dyDescent="0.2">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row>
    <row r="29" spans="1:26" x14ac:dyDescent="0.2">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row>
    <row r="30" spans="1:26" x14ac:dyDescent="0.2">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row>
    <row r="31" spans="1:26" x14ac:dyDescent="0.2">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row>
    <row r="32" spans="1:26" x14ac:dyDescent="0.2">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row>
    <row r="33" spans="1:26" x14ac:dyDescent="0.2">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spans="1:26" x14ac:dyDescent="0.2">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spans="1:26" x14ac:dyDescent="0.2">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spans="1:26" x14ac:dyDescent="0.2">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spans="1:26" x14ac:dyDescent="0.2">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spans="1:26" x14ac:dyDescent="0.2">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row>
    <row r="39" spans="1:26" x14ac:dyDescent="0.2">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x14ac:dyDescent="0.2">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spans="1:26" x14ac:dyDescent="0.2">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row r="42" spans="1:26" x14ac:dyDescent="0.2">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row>
    <row r="43" spans="1:26" x14ac:dyDescent="0.2">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spans="1:26" x14ac:dyDescent="0.2">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spans="1:26" x14ac:dyDescent="0.2">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spans="1:26" x14ac:dyDescent="0.2">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spans="1:26" x14ac:dyDescent="0.2">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spans="1:26" x14ac:dyDescent="0.2">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spans="1:26" x14ac:dyDescent="0.2">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spans="1:26" x14ac:dyDescent="0.2">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sheetData>
  <hyperlinks>
    <hyperlink ref="A1" location="Navigation!A1" display="Navigation!A1" xr:uid="{00000000-0004-0000-0500-00000000000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Z50"/>
  <sheetViews>
    <sheetView zoomScale="90" zoomScaleNormal="90" workbookViewId="0"/>
  </sheetViews>
  <sheetFormatPr baseColWidth="10" defaultColWidth="10.6640625" defaultRowHeight="16" x14ac:dyDescent="0.2"/>
  <sheetData>
    <row r="1" spans="1:26" ht="24" x14ac:dyDescent="0.2">
      <c r="A1" s="78" t="s">
        <v>57</v>
      </c>
      <c r="B1" s="76"/>
      <c r="C1" s="76"/>
      <c r="D1" s="76"/>
      <c r="E1" s="76"/>
      <c r="F1" s="76"/>
      <c r="G1" s="76"/>
      <c r="H1" s="76"/>
      <c r="I1" s="76"/>
      <c r="J1" s="76"/>
      <c r="K1" s="76"/>
      <c r="L1" s="76"/>
      <c r="M1" s="76"/>
      <c r="N1" s="76"/>
      <c r="O1" s="76"/>
      <c r="P1" s="76"/>
      <c r="Q1" s="76"/>
      <c r="R1" s="76"/>
      <c r="S1" s="76"/>
      <c r="T1" s="76"/>
      <c r="U1" s="76"/>
      <c r="V1" s="76"/>
      <c r="W1" s="76"/>
      <c r="X1" s="76"/>
      <c r="Y1" s="76"/>
      <c r="Z1" s="76"/>
    </row>
    <row r="2" spans="1:26" x14ac:dyDescent="0.2">
      <c r="A2" s="76"/>
      <c r="B2" s="76"/>
      <c r="C2" s="76"/>
      <c r="D2" s="76"/>
      <c r="E2" s="76"/>
      <c r="F2" s="76"/>
      <c r="G2" s="76"/>
      <c r="H2" s="76"/>
      <c r="I2" s="76"/>
      <c r="J2" s="76"/>
      <c r="K2" s="76"/>
      <c r="L2" s="76"/>
      <c r="M2" s="76"/>
      <c r="N2" s="76"/>
      <c r="O2" s="76"/>
      <c r="P2" s="76"/>
      <c r="Q2" s="76"/>
      <c r="R2" s="76"/>
      <c r="S2" s="76"/>
      <c r="T2" s="76"/>
      <c r="U2" s="76"/>
      <c r="V2" s="76"/>
      <c r="W2" s="76"/>
      <c r="X2" s="76"/>
      <c r="Y2" s="76"/>
      <c r="Z2" s="76"/>
    </row>
    <row r="3" spans="1:26" x14ac:dyDescent="0.2">
      <c r="A3" s="76"/>
      <c r="B3" s="76"/>
      <c r="C3" s="76"/>
      <c r="D3" s="76"/>
      <c r="E3" s="76"/>
      <c r="F3" s="76"/>
      <c r="G3" s="76"/>
      <c r="H3" s="76"/>
      <c r="I3" s="76"/>
      <c r="J3" s="76"/>
      <c r="K3" s="76"/>
      <c r="L3" s="76"/>
      <c r="M3" s="76"/>
      <c r="N3" s="76"/>
      <c r="O3" s="76"/>
      <c r="P3" s="76"/>
      <c r="Q3" s="76"/>
      <c r="R3" s="76"/>
      <c r="S3" s="76"/>
      <c r="T3" s="76"/>
      <c r="U3" s="76"/>
      <c r="V3" s="76"/>
      <c r="W3" s="76"/>
      <c r="X3" s="76"/>
      <c r="Y3" s="76"/>
      <c r="Z3" s="76"/>
    </row>
    <row r="4" spans="1:26" x14ac:dyDescent="0.2">
      <c r="A4" s="76"/>
      <c r="B4" s="76"/>
      <c r="C4" s="76"/>
      <c r="D4" s="76"/>
      <c r="E4" s="76"/>
      <c r="F4" s="76"/>
      <c r="G4" s="76"/>
      <c r="H4" s="76"/>
      <c r="I4" s="76"/>
      <c r="J4" s="76"/>
      <c r="K4" s="76"/>
      <c r="L4" s="76"/>
      <c r="M4" s="76"/>
      <c r="N4" s="76"/>
      <c r="O4" s="76"/>
      <c r="P4" s="76"/>
      <c r="Q4" s="76"/>
      <c r="R4" s="76"/>
      <c r="S4" s="76"/>
      <c r="T4" s="76"/>
      <c r="U4" s="76"/>
      <c r="V4" s="76"/>
      <c r="W4" s="76"/>
      <c r="X4" s="76"/>
      <c r="Y4" s="76"/>
      <c r="Z4" s="76"/>
    </row>
    <row r="5" spans="1:26" x14ac:dyDescent="0.2">
      <c r="A5" s="76"/>
      <c r="B5" s="76"/>
      <c r="C5" s="76"/>
      <c r="D5" s="76"/>
      <c r="E5" s="76"/>
      <c r="F5" s="76"/>
      <c r="G5" s="76"/>
      <c r="H5" s="76"/>
      <c r="I5" s="76"/>
      <c r="J5" s="76"/>
      <c r="K5" s="76"/>
      <c r="L5" s="76"/>
      <c r="M5" s="76"/>
      <c r="N5" s="76"/>
      <c r="O5" s="76"/>
      <c r="P5" s="76"/>
      <c r="Q5" s="76"/>
      <c r="R5" s="76"/>
      <c r="S5" s="76"/>
      <c r="T5" s="76"/>
      <c r="U5" s="76"/>
      <c r="V5" s="76"/>
      <c r="W5" s="76"/>
      <c r="X5" s="76"/>
      <c r="Y5" s="76"/>
      <c r="Z5" s="76"/>
    </row>
    <row r="6" spans="1:26" x14ac:dyDescent="0.2">
      <c r="A6" s="76"/>
      <c r="B6" s="76"/>
      <c r="C6" s="76"/>
      <c r="D6" s="76"/>
      <c r="E6" s="76"/>
      <c r="F6" s="76"/>
      <c r="G6" s="76"/>
      <c r="H6" s="76"/>
      <c r="I6" s="76"/>
      <c r="J6" s="76"/>
      <c r="K6" s="76"/>
      <c r="L6" s="76"/>
      <c r="M6" s="76"/>
      <c r="N6" s="76"/>
      <c r="O6" s="76"/>
      <c r="P6" s="76"/>
      <c r="Q6" s="76"/>
      <c r="R6" s="76"/>
      <c r="S6" s="76"/>
      <c r="T6" s="76"/>
      <c r="U6" s="76"/>
      <c r="V6" s="76"/>
      <c r="W6" s="76"/>
      <c r="X6" s="76"/>
      <c r="Y6" s="76"/>
      <c r="Z6" s="76"/>
    </row>
    <row r="7" spans="1:26" x14ac:dyDescent="0.2">
      <c r="A7" s="76"/>
      <c r="B7" s="76"/>
      <c r="C7" s="76"/>
      <c r="D7" s="76"/>
      <c r="E7" s="76"/>
      <c r="F7" s="76"/>
      <c r="G7" s="76"/>
      <c r="H7" s="76"/>
      <c r="I7" s="76"/>
      <c r="J7" s="76"/>
      <c r="K7" s="76"/>
      <c r="L7" s="76"/>
      <c r="M7" s="76"/>
      <c r="N7" s="76"/>
      <c r="O7" s="76"/>
      <c r="P7" s="76"/>
      <c r="Q7" s="76"/>
      <c r="R7" s="76"/>
      <c r="S7" s="76"/>
      <c r="T7" s="76"/>
      <c r="U7" s="76"/>
      <c r="V7" s="76"/>
      <c r="W7" s="76"/>
      <c r="X7" s="76"/>
      <c r="Y7" s="76"/>
      <c r="Z7" s="76"/>
    </row>
    <row r="8" spans="1:26" x14ac:dyDescent="0.2">
      <c r="A8" s="76"/>
      <c r="B8" s="76"/>
      <c r="C8" s="76"/>
      <c r="D8" s="76"/>
      <c r="E8" s="76"/>
      <c r="F8" s="76"/>
      <c r="G8" s="76"/>
      <c r="H8" s="76"/>
      <c r="I8" s="76"/>
      <c r="J8" s="76"/>
      <c r="K8" s="76"/>
      <c r="L8" s="76"/>
      <c r="M8" s="76"/>
      <c r="N8" s="76"/>
      <c r="O8" s="76"/>
      <c r="P8" s="76"/>
      <c r="Q8" s="76"/>
      <c r="R8" s="76"/>
      <c r="S8" s="76"/>
      <c r="T8" s="76"/>
      <c r="U8" s="76"/>
      <c r="V8" s="76"/>
      <c r="W8" s="76"/>
      <c r="X8" s="76"/>
      <c r="Y8" s="76"/>
      <c r="Z8" s="76"/>
    </row>
    <row r="9" spans="1:26" x14ac:dyDescent="0.2">
      <c r="A9" s="76"/>
      <c r="B9" s="76"/>
      <c r="C9" s="76"/>
      <c r="D9" s="76"/>
      <c r="E9" s="76"/>
      <c r="F9" s="76"/>
      <c r="G9" s="76"/>
      <c r="H9" s="76"/>
      <c r="I9" s="76"/>
      <c r="J9" s="76"/>
      <c r="K9" s="76"/>
      <c r="L9" s="76"/>
      <c r="M9" s="76"/>
      <c r="N9" s="76"/>
      <c r="O9" s="76"/>
      <c r="P9" s="76"/>
      <c r="Q9" s="76"/>
      <c r="R9" s="76"/>
      <c r="S9" s="76"/>
      <c r="T9" s="76"/>
      <c r="U9" s="76"/>
      <c r="V9" s="76"/>
      <c r="W9" s="76"/>
      <c r="X9" s="76"/>
      <c r="Y9" s="76"/>
      <c r="Z9" s="76"/>
    </row>
    <row r="10" spans="1:26" x14ac:dyDescent="0.2">
      <c r="A10" s="76"/>
      <c r="B10" s="76"/>
      <c r="C10" s="76"/>
      <c r="D10" s="76"/>
      <c r="E10" s="76"/>
      <c r="F10" s="76"/>
      <c r="G10" s="76"/>
      <c r="H10" s="76"/>
      <c r="I10" s="76"/>
      <c r="J10" s="76"/>
      <c r="K10" s="76"/>
      <c r="L10" s="76"/>
      <c r="M10" s="76"/>
      <c r="N10" s="76"/>
      <c r="O10" s="76"/>
      <c r="P10" s="76"/>
      <c r="Q10" s="76"/>
      <c r="R10" s="76"/>
      <c r="S10" s="76"/>
      <c r="T10" s="76"/>
      <c r="U10" s="76"/>
      <c r="V10" s="76"/>
      <c r="W10" s="76"/>
      <c r="X10" s="76"/>
      <c r="Y10" s="76"/>
      <c r="Z10" s="76"/>
    </row>
    <row r="11" spans="1:26" x14ac:dyDescent="0.2">
      <c r="A11" s="76"/>
      <c r="B11" s="76"/>
      <c r="C11" s="76"/>
      <c r="D11" s="76"/>
      <c r="E11" s="76"/>
      <c r="F11" s="76"/>
      <c r="G11" s="76"/>
      <c r="H11" s="76"/>
      <c r="I11" s="76"/>
      <c r="J11" s="76"/>
      <c r="K11" s="76"/>
      <c r="L11" s="76"/>
      <c r="M11" s="76"/>
      <c r="N11" s="76"/>
      <c r="O11" s="76"/>
      <c r="P11" s="76"/>
      <c r="Q11" s="76"/>
      <c r="R11" s="76"/>
      <c r="S11" s="76"/>
      <c r="T11" s="76"/>
      <c r="U11" s="76"/>
      <c r="V11" s="76"/>
      <c r="W11" s="76"/>
      <c r="X11" s="76"/>
      <c r="Y11" s="76"/>
      <c r="Z11" s="76"/>
    </row>
    <row r="12" spans="1:26" x14ac:dyDescent="0.2">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row>
    <row r="13" spans="1:26" x14ac:dyDescent="0.2">
      <c r="A13" s="76"/>
      <c r="B13" s="76"/>
      <c r="C13" s="76"/>
      <c r="D13" s="76"/>
      <c r="E13" s="76"/>
      <c r="F13" s="76"/>
      <c r="G13" s="76"/>
      <c r="H13" s="76"/>
      <c r="I13" s="76"/>
      <c r="J13" s="76"/>
      <c r="K13" s="76"/>
      <c r="L13" s="76"/>
      <c r="M13" s="76"/>
      <c r="N13" s="76"/>
      <c r="O13" s="76"/>
      <c r="P13" s="76"/>
      <c r="Q13" s="76"/>
      <c r="R13" s="76"/>
      <c r="S13" s="76"/>
      <c r="T13" s="76"/>
      <c r="U13" s="76"/>
      <c r="V13" s="76"/>
      <c r="W13" s="76"/>
      <c r="X13" s="76"/>
      <c r="Y13" s="76"/>
      <c r="Z13" s="76"/>
    </row>
    <row r="14" spans="1:26" x14ac:dyDescent="0.2">
      <c r="A14" s="76"/>
      <c r="B14" s="76"/>
      <c r="C14" s="76"/>
      <c r="D14" s="76"/>
      <c r="E14" s="76"/>
      <c r="F14" s="76"/>
      <c r="G14" s="76"/>
      <c r="H14" s="76"/>
      <c r="I14" s="76"/>
      <c r="J14" s="76"/>
      <c r="K14" s="76"/>
      <c r="L14" s="76"/>
      <c r="M14" s="76"/>
      <c r="N14" s="76"/>
      <c r="O14" s="76"/>
      <c r="P14" s="76"/>
      <c r="Q14" s="76"/>
      <c r="R14" s="76"/>
      <c r="S14" s="76"/>
      <c r="T14" s="76"/>
      <c r="U14" s="76"/>
      <c r="V14" s="76"/>
      <c r="W14" s="76"/>
      <c r="X14" s="76"/>
      <c r="Y14" s="76"/>
      <c r="Z14" s="76"/>
    </row>
    <row r="15" spans="1:26" x14ac:dyDescent="0.2">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row>
    <row r="16" spans="1:26" x14ac:dyDescent="0.2">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row>
    <row r="17" spans="1:26" x14ac:dyDescent="0.2">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row>
    <row r="18" spans="1:26" x14ac:dyDescent="0.2">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spans="1:26" x14ac:dyDescent="0.2">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row>
    <row r="20" spans="1:26" x14ac:dyDescent="0.2">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row>
    <row r="21" spans="1:26" x14ac:dyDescent="0.2">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row>
    <row r="22" spans="1:26" x14ac:dyDescent="0.2">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row>
    <row r="23" spans="1:26" x14ac:dyDescent="0.2">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row>
    <row r="24" spans="1:26" x14ac:dyDescent="0.2">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row>
    <row r="25" spans="1:26" x14ac:dyDescent="0.2">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row>
    <row r="26" spans="1:26" x14ac:dyDescent="0.2">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row>
    <row r="27" spans="1:26" x14ac:dyDescent="0.2">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row>
    <row r="28" spans="1:26" x14ac:dyDescent="0.2">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row>
    <row r="29" spans="1:26" x14ac:dyDescent="0.2">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row>
    <row r="30" spans="1:26" x14ac:dyDescent="0.2">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row>
    <row r="31" spans="1:26" x14ac:dyDescent="0.2">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row>
    <row r="32" spans="1:26" x14ac:dyDescent="0.2">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row>
    <row r="33" spans="1:26" x14ac:dyDescent="0.2">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spans="1:26" x14ac:dyDescent="0.2">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spans="1:26" x14ac:dyDescent="0.2">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spans="1:26" x14ac:dyDescent="0.2">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spans="1:26" x14ac:dyDescent="0.2">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spans="1:26" x14ac:dyDescent="0.2">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row>
    <row r="39" spans="1:26" x14ac:dyDescent="0.2">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x14ac:dyDescent="0.2">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spans="1:26" x14ac:dyDescent="0.2">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row r="42" spans="1:26" x14ac:dyDescent="0.2">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row>
    <row r="43" spans="1:26" x14ac:dyDescent="0.2">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spans="1:26" x14ac:dyDescent="0.2">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spans="1:26" x14ac:dyDescent="0.2">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spans="1:26" x14ac:dyDescent="0.2">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spans="1:26" x14ac:dyDescent="0.2">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spans="1:26" x14ac:dyDescent="0.2">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spans="1:26" x14ac:dyDescent="0.2">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spans="1:26" x14ac:dyDescent="0.2">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sheetData>
  <hyperlinks>
    <hyperlink ref="A1" location="Navigation!A1" display="Home" xr:uid="{00000000-0004-0000-0600-000000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40FF"/>
  </sheetPr>
  <dimension ref="A1:Z41"/>
  <sheetViews>
    <sheetView zoomScale="90" zoomScaleNormal="90" workbookViewId="0">
      <selection activeCell="X39" sqref="X39"/>
    </sheetView>
  </sheetViews>
  <sheetFormatPr baseColWidth="10" defaultColWidth="10.6640625" defaultRowHeight="16" x14ac:dyDescent="0.2"/>
  <sheetData>
    <row r="1" spans="1:26" ht="26" x14ac:dyDescent="0.2">
      <c r="A1" s="81" t="s">
        <v>57</v>
      </c>
      <c r="B1" s="76"/>
      <c r="C1" s="76"/>
      <c r="D1" s="76"/>
      <c r="E1" s="76"/>
      <c r="F1" s="76"/>
      <c r="G1" s="76"/>
      <c r="H1" s="76"/>
      <c r="I1" s="76"/>
      <c r="J1" s="76"/>
      <c r="K1" s="76"/>
      <c r="L1" s="76"/>
      <c r="M1" s="76"/>
      <c r="N1" s="76"/>
      <c r="O1" s="76"/>
      <c r="P1" s="76"/>
      <c r="Q1" s="76"/>
      <c r="R1" s="76"/>
      <c r="S1" s="76"/>
      <c r="T1" s="76"/>
      <c r="U1" s="76"/>
      <c r="V1" s="76"/>
      <c r="W1" s="76"/>
      <c r="X1" s="76"/>
      <c r="Y1" s="76"/>
      <c r="Z1" s="76"/>
    </row>
    <row r="2" spans="1:26" x14ac:dyDescent="0.2">
      <c r="A2" s="76"/>
      <c r="B2" s="76"/>
      <c r="C2" s="76"/>
      <c r="D2" s="76"/>
      <c r="E2" s="76"/>
      <c r="F2" s="76"/>
      <c r="G2" s="76"/>
      <c r="H2" s="76"/>
      <c r="I2" s="76"/>
      <c r="J2" s="76"/>
      <c r="K2" s="76"/>
      <c r="L2" s="76"/>
      <c r="M2" s="76"/>
      <c r="N2" s="76"/>
      <c r="O2" s="76"/>
      <c r="P2" s="76"/>
      <c r="Q2" s="76"/>
      <c r="R2" s="76"/>
      <c r="S2" s="76"/>
      <c r="T2" s="76"/>
      <c r="U2" s="76"/>
      <c r="V2" s="76"/>
      <c r="W2" s="76"/>
      <c r="X2" s="76"/>
      <c r="Y2" s="76"/>
      <c r="Z2" s="76"/>
    </row>
    <row r="3" spans="1:26" x14ac:dyDescent="0.2">
      <c r="A3" s="76"/>
      <c r="B3" s="76"/>
      <c r="C3" s="76"/>
      <c r="D3" s="76"/>
      <c r="E3" s="76"/>
      <c r="F3" s="76"/>
      <c r="G3" s="76"/>
      <c r="H3" s="76"/>
      <c r="I3" s="76"/>
      <c r="J3" s="76"/>
      <c r="K3" s="76"/>
      <c r="L3" s="76"/>
      <c r="M3" s="76"/>
      <c r="N3" s="76"/>
      <c r="O3" s="76"/>
      <c r="P3" s="76"/>
      <c r="Q3" s="76"/>
      <c r="R3" s="76"/>
      <c r="S3" s="76"/>
      <c r="T3" s="76"/>
      <c r="U3" s="76"/>
      <c r="V3" s="76"/>
      <c r="W3" s="76"/>
      <c r="X3" s="76"/>
      <c r="Y3" s="76"/>
      <c r="Z3" s="76"/>
    </row>
    <row r="4" spans="1:26" x14ac:dyDescent="0.2">
      <c r="A4" s="76"/>
      <c r="B4" s="76"/>
      <c r="C4" s="76"/>
      <c r="D4" s="76"/>
      <c r="E4" s="76"/>
      <c r="F4" s="76"/>
      <c r="G4" s="76"/>
      <c r="H4" s="76"/>
      <c r="I4" s="76"/>
      <c r="J4" s="76"/>
      <c r="K4" s="76"/>
      <c r="L4" s="76"/>
      <c r="M4" s="76"/>
      <c r="N4" s="76"/>
      <c r="O4" s="76"/>
      <c r="P4" s="76"/>
      <c r="Q4" s="76"/>
      <c r="R4" s="76"/>
      <c r="S4" s="76"/>
      <c r="T4" s="76"/>
      <c r="U4" s="76"/>
      <c r="V4" s="76"/>
      <c r="W4" s="76"/>
      <c r="X4" s="76"/>
      <c r="Y4" s="76"/>
      <c r="Z4" s="76"/>
    </row>
    <row r="5" spans="1:26" x14ac:dyDescent="0.2">
      <c r="A5" s="76"/>
      <c r="B5" s="76"/>
      <c r="C5" s="76"/>
      <c r="D5" s="76"/>
      <c r="E5" s="76"/>
      <c r="F5" s="76"/>
      <c r="G5" s="76"/>
      <c r="H5" s="76"/>
      <c r="I5" s="76"/>
      <c r="J5" s="76"/>
      <c r="K5" s="76"/>
      <c r="L5" s="76"/>
      <c r="M5" s="76"/>
      <c r="N5" s="76"/>
      <c r="O5" s="76"/>
      <c r="P5" s="76"/>
      <c r="Q5" s="76"/>
      <c r="R5" s="76"/>
      <c r="S5" s="76"/>
      <c r="T5" s="76"/>
      <c r="U5" s="76"/>
      <c r="V5" s="76"/>
      <c r="W5" s="76"/>
      <c r="X5" s="76"/>
      <c r="Y5" s="76"/>
      <c r="Z5" s="76"/>
    </row>
    <row r="6" spans="1:26" x14ac:dyDescent="0.2">
      <c r="A6" s="76"/>
      <c r="B6" s="76"/>
      <c r="C6" s="76"/>
      <c r="D6" s="76"/>
      <c r="E6" s="76"/>
      <c r="F6" s="76"/>
      <c r="G6" s="76"/>
      <c r="H6" s="76"/>
      <c r="I6" s="76"/>
      <c r="J6" s="76"/>
      <c r="K6" s="76"/>
      <c r="L6" s="76"/>
      <c r="M6" s="76"/>
      <c r="N6" s="76"/>
      <c r="O6" s="76"/>
      <c r="P6" s="76"/>
      <c r="Q6" s="76"/>
      <c r="R6" s="76"/>
      <c r="S6" s="76"/>
      <c r="T6" s="76"/>
      <c r="U6" s="76"/>
      <c r="V6" s="76"/>
      <c r="W6" s="76"/>
      <c r="X6" s="76"/>
      <c r="Y6" s="76"/>
      <c r="Z6" s="76"/>
    </row>
    <row r="7" spans="1:26" x14ac:dyDescent="0.2">
      <c r="A7" s="76"/>
      <c r="B7" s="76"/>
      <c r="C7" s="76"/>
      <c r="D7" s="76"/>
      <c r="E7" s="76"/>
      <c r="F7" s="76"/>
      <c r="G7" s="76"/>
      <c r="H7" s="76"/>
      <c r="I7" s="76"/>
      <c r="J7" s="76"/>
      <c r="K7" s="76"/>
      <c r="L7" s="76"/>
      <c r="M7" s="76"/>
      <c r="N7" s="76"/>
      <c r="O7" s="76"/>
      <c r="P7" s="76"/>
      <c r="Q7" s="76"/>
      <c r="R7" s="76"/>
      <c r="S7" s="76"/>
      <c r="T7" s="76"/>
      <c r="U7" s="76"/>
      <c r="V7" s="76"/>
      <c r="W7" s="76"/>
      <c r="X7" s="76"/>
      <c r="Y7" s="76"/>
      <c r="Z7" s="76"/>
    </row>
    <row r="8" spans="1:26" x14ac:dyDescent="0.2">
      <c r="A8" s="76"/>
      <c r="B8" s="76"/>
      <c r="C8" s="76"/>
      <c r="D8" s="76"/>
      <c r="E8" s="76"/>
      <c r="F8" s="76"/>
      <c r="G8" s="76"/>
      <c r="H8" s="76"/>
      <c r="I8" s="76"/>
      <c r="J8" s="76"/>
      <c r="K8" s="76"/>
      <c r="L8" s="76"/>
      <c r="M8" s="76"/>
      <c r="N8" s="76"/>
      <c r="O8" s="76"/>
      <c r="P8" s="76"/>
      <c r="Q8" s="76"/>
      <c r="R8" s="76"/>
      <c r="S8" s="76"/>
      <c r="T8" s="76"/>
      <c r="U8" s="76"/>
      <c r="V8" s="76"/>
      <c r="W8" s="76"/>
      <c r="X8" s="76"/>
      <c r="Y8" s="76"/>
      <c r="Z8" s="76"/>
    </row>
    <row r="9" spans="1:26" x14ac:dyDescent="0.2">
      <c r="A9" s="76"/>
      <c r="B9" s="76"/>
      <c r="C9" s="76"/>
      <c r="D9" s="76"/>
      <c r="E9" s="76"/>
      <c r="F9" s="76"/>
      <c r="G9" s="76"/>
      <c r="H9" s="76"/>
      <c r="I9" s="76"/>
      <c r="J9" s="76"/>
      <c r="K9" s="76"/>
      <c r="L9" s="76"/>
      <c r="M9" s="76"/>
      <c r="N9" s="76"/>
      <c r="O9" s="76"/>
      <c r="P9" s="76"/>
      <c r="Q9" s="76"/>
      <c r="R9" s="76"/>
      <c r="S9" s="76"/>
      <c r="T9" s="76"/>
      <c r="U9" s="76"/>
      <c r="V9" s="76"/>
      <c r="W9" s="76"/>
      <c r="X9" s="76"/>
      <c r="Y9" s="76"/>
      <c r="Z9" s="76"/>
    </row>
    <row r="10" spans="1:26" x14ac:dyDescent="0.2">
      <c r="A10" s="76"/>
      <c r="B10" s="76"/>
      <c r="C10" s="76"/>
      <c r="D10" s="76"/>
      <c r="E10" s="76"/>
      <c r="F10" s="76"/>
      <c r="G10" s="76"/>
      <c r="H10" s="76"/>
      <c r="I10" s="76"/>
      <c r="J10" s="76"/>
      <c r="K10" s="76"/>
      <c r="L10" s="76"/>
      <c r="M10" s="76"/>
      <c r="N10" s="76"/>
      <c r="O10" s="76"/>
      <c r="P10" s="76"/>
      <c r="Q10" s="76"/>
      <c r="R10" s="76"/>
      <c r="S10" s="76"/>
      <c r="T10" s="76"/>
      <c r="U10" s="76"/>
      <c r="V10" s="76"/>
      <c r="W10" s="76"/>
      <c r="X10" s="76"/>
      <c r="Y10" s="76"/>
      <c r="Z10" s="76"/>
    </row>
    <row r="11" spans="1:26" x14ac:dyDescent="0.2">
      <c r="A11" s="76"/>
      <c r="B11" s="76"/>
      <c r="C11" s="76"/>
      <c r="D11" s="76"/>
      <c r="E11" s="76"/>
      <c r="F11" s="76"/>
      <c r="G11" s="76"/>
      <c r="H11" s="76"/>
      <c r="I11" s="76"/>
      <c r="J11" s="76"/>
      <c r="K11" s="76"/>
      <c r="L11" s="76"/>
      <c r="M11" s="76"/>
      <c r="N11" s="76"/>
      <c r="O11" s="76"/>
      <c r="P11" s="76"/>
      <c r="Q11" s="76"/>
      <c r="R11" s="76"/>
      <c r="S11" s="76"/>
      <c r="T11" s="76"/>
      <c r="U11" s="76"/>
      <c r="V11" s="76"/>
      <c r="W11" s="76"/>
      <c r="X11" s="76"/>
      <c r="Y11" s="76"/>
      <c r="Z11" s="76"/>
    </row>
    <row r="12" spans="1:26" x14ac:dyDescent="0.2">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row>
    <row r="13" spans="1:26" x14ac:dyDescent="0.2">
      <c r="A13" s="76"/>
      <c r="B13" s="76"/>
      <c r="C13" s="76"/>
      <c r="D13" s="76"/>
      <c r="E13" s="76"/>
      <c r="F13" s="76"/>
      <c r="G13" s="76"/>
      <c r="H13" s="76"/>
      <c r="I13" s="76"/>
      <c r="J13" s="76"/>
      <c r="K13" s="76"/>
      <c r="L13" s="76"/>
      <c r="M13" s="76"/>
      <c r="N13" s="76"/>
      <c r="O13" s="76"/>
      <c r="P13" s="76"/>
      <c r="Q13" s="76"/>
      <c r="R13" s="76"/>
      <c r="S13" s="76"/>
      <c r="T13" s="76"/>
      <c r="U13" s="76"/>
      <c r="V13" s="76"/>
      <c r="W13" s="76"/>
      <c r="X13" s="76"/>
      <c r="Y13" s="76"/>
      <c r="Z13" s="76"/>
    </row>
    <row r="14" spans="1:26" x14ac:dyDescent="0.2">
      <c r="A14" s="76"/>
      <c r="B14" s="76"/>
      <c r="C14" s="76"/>
      <c r="D14" s="76"/>
      <c r="E14" s="76"/>
      <c r="F14" s="76"/>
      <c r="G14" s="76"/>
      <c r="H14" s="76"/>
      <c r="I14" s="76"/>
      <c r="J14" s="76"/>
      <c r="K14" s="76"/>
      <c r="L14" s="76"/>
      <c r="M14" s="76"/>
      <c r="N14" s="76"/>
      <c r="O14" s="76"/>
      <c r="P14" s="76"/>
      <c r="Q14" s="76"/>
      <c r="R14" s="76"/>
      <c r="S14" s="76"/>
      <c r="T14" s="76"/>
      <c r="U14" s="76"/>
      <c r="V14" s="76"/>
      <c r="W14" s="76"/>
      <c r="X14" s="76"/>
      <c r="Y14" s="76"/>
      <c r="Z14" s="76"/>
    </row>
    <row r="15" spans="1:26" x14ac:dyDescent="0.2">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row>
    <row r="16" spans="1:26" x14ac:dyDescent="0.2">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row>
    <row r="17" spans="1:26" x14ac:dyDescent="0.2">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row>
    <row r="18" spans="1:26" x14ac:dyDescent="0.2">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spans="1:26" x14ac:dyDescent="0.2">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row>
    <row r="20" spans="1:26" x14ac:dyDescent="0.2">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row>
    <row r="21" spans="1:26" x14ac:dyDescent="0.2">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row>
    <row r="22" spans="1:26" x14ac:dyDescent="0.2">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row>
    <row r="23" spans="1:26" x14ac:dyDescent="0.2">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row>
    <row r="24" spans="1:26" x14ac:dyDescent="0.2">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row>
    <row r="25" spans="1:26" x14ac:dyDescent="0.2">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row>
    <row r="26" spans="1:26" x14ac:dyDescent="0.2">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row>
    <row r="27" spans="1:26" x14ac:dyDescent="0.2">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row>
    <row r="28" spans="1:26" x14ac:dyDescent="0.2">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row>
    <row r="29" spans="1:26" x14ac:dyDescent="0.2">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row>
    <row r="30" spans="1:26" x14ac:dyDescent="0.2">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row>
    <row r="31" spans="1:26" x14ac:dyDescent="0.2">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row>
    <row r="32" spans="1:26" x14ac:dyDescent="0.2">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row>
    <row r="33" spans="1:26" x14ac:dyDescent="0.2">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spans="1:26" x14ac:dyDescent="0.2">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spans="1:26" x14ac:dyDescent="0.2">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spans="1:26" x14ac:dyDescent="0.2">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spans="1:26" x14ac:dyDescent="0.2">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spans="1:26" x14ac:dyDescent="0.2">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row>
    <row r="39" spans="1:26" x14ac:dyDescent="0.2">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x14ac:dyDescent="0.2">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spans="1:26" x14ac:dyDescent="0.2">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sheetData>
  <hyperlinks>
    <hyperlink ref="A1" location="Navigation!A1" display="Navigation!A1" xr:uid="{00000000-0004-0000-07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Z50"/>
  <sheetViews>
    <sheetView topLeftCell="A4" zoomScaleNormal="100" workbookViewId="0">
      <selection activeCell="B21" sqref="B21"/>
    </sheetView>
  </sheetViews>
  <sheetFormatPr baseColWidth="10" defaultColWidth="11" defaultRowHeight="16" x14ac:dyDescent="0.2"/>
  <cols>
    <col min="1" max="1" width="12.5" bestFit="1" customWidth="1"/>
  </cols>
  <sheetData>
    <row r="1" spans="1:26" ht="24" x14ac:dyDescent="0.2">
      <c r="A1" s="80" t="s">
        <v>57</v>
      </c>
      <c r="B1" s="76"/>
      <c r="C1" s="76"/>
      <c r="D1" s="76"/>
      <c r="E1" s="76"/>
      <c r="F1" s="76"/>
      <c r="G1" s="76"/>
      <c r="H1" s="76"/>
      <c r="I1" s="76"/>
      <c r="J1" s="76"/>
      <c r="K1" s="76"/>
      <c r="L1" s="76"/>
      <c r="M1" s="76"/>
      <c r="N1" s="76"/>
      <c r="O1" s="76"/>
      <c r="P1" s="76"/>
      <c r="Q1" s="76"/>
      <c r="R1" s="76"/>
      <c r="S1" s="76"/>
      <c r="T1" s="76"/>
      <c r="U1" s="76"/>
      <c r="V1" s="76"/>
      <c r="W1" s="76"/>
      <c r="X1" s="76"/>
      <c r="Y1" s="76"/>
      <c r="Z1" s="76"/>
    </row>
    <row r="2" spans="1:26" x14ac:dyDescent="0.2">
      <c r="A2" s="76"/>
      <c r="B2" s="76"/>
      <c r="C2" s="76"/>
      <c r="D2" s="76"/>
      <c r="E2" s="76"/>
      <c r="F2" s="76"/>
      <c r="G2" s="76"/>
      <c r="H2" s="76"/>
      <c r="I2" s="76"/>
      <c r="J2" s="76"/>
      <c r="K2" s="76"/>
      <c r="L2" s="76"/>
      <c r="M2" s="76"/>
      <c r="N2" s="76"/>
      <c r="O2" s="76"/>
      <c r="P2" s="76"/>
      <c r="Q2" s="76"/>
      <c r="R2" s="76"/>
      <c r="S2" s="76"/>
      <c r="T2" s="76"/>
      <c r="U2" s="76"/>
      <c r="V2" s="76"/>
      <c r="W2" s="76"/>
      <c r="X2" s="76"/>
      <c r="Y2" s="76"/>
      <c r="Z2" s="76"/>
    </row>
    <row r="3" spans="1:26" x14ac:dyDescent="0.2">
      <c r="A3" s="76"/>
      <c r="B3" s="76"/>
      <c r="C3" s="76"/>
      <c r="D3" s="76"/>
      <c r="E3" s="76"/>
      <c r="F3" s="76"/>
      <c r="G3" s="76"/>
      <c r="H3" s="76"/>
      <c r="I3" s="76"/>
      <c r="J3" s="76"/>
      <c r="K3" s="76"/>
      <c r="L3" s="76"/>
      <c r="M3" s="76"/>
      <c r="N3" s="76"/>
      <c r="O3" s="76"/>
      <c r="P3" s="76"/>
      <c r="Q3" s="76"/>
      <c r="R3" s="76"/>
      <c r="S3" s="76"/>
      <c r="T3" s="76"/>
      <c r="U3" s="76"/>
      <c r="V3" s="76"/>
      <c r="W3" s="76"/>
      <c r="X3" s="76"/>
      <c r="Y3" s="76"/>
      <c r="Z3" s="76"/>
    </row>
    <row r="4" spans="1:26" x14ac:dyDescent="0.2">
      <c r="A4" s="76"/>
      <c r="B4" s="76"/>
      <c r="C4" s="76"/>
      <c r="D4" s="76"/>
      <c r="E4" s="76"/>
      <c r="F4" s="76"/>
      <c r="G4" s="76"/>
      <c r="H4" s="76"/>
      <c r="I4" s="76"/>
      <c r="J4" s="76"/>
      <c r="K4" s="76"/>
      <c r="L4" s="76"/>
      <c r="M4" s="76"/>
      <c r="N4" s="76"/>
      <c r="O4" s="76"/>
      <c r="P4" s="76"/>
      <c r="Q4" s="76"/>
      <c r="R4" s="76"/>
      <c r="S4" s="76"/>
      <c r="T4" s="76"/>
      <c r="U4" s="76"/>
      <c r="V4" s="76"/>
      <c r="W4" s="76"/>
      <c r="X4" s="76"/>
      <c r="Y4" s="76"/>
      <c r="Z4" s="76"/>
    </row>
    <row r="5" spans="1:26" x14ac:dyDescent="0.2">
      <c r="A5" s="76"/>
      <c r="B5" s="76"/>
      <c r="C5" s="76"/>
      <c r="D5" s="76"/>
      <c r="E5" s="76"/>
      <c r="F5" s="76"/>
      <c r="G5" s="76"/>
      <c r="H5" s="76"/>
      <c r="I5" s="76"/>
      <c r="J5" s="76"/>
      <c r="K5" s="76"/>
      <c r="L5" s="76"/>
      <c r="M5" s="76"/>
      <c r="N5" s="76"/>
      <c r="O5" s="76"/>
      <c r="P5" s="76"/>
      <c r="Q5" s="76"/>
      <c r="R5" s="76"/>
      <c r="S5" s="76"/>
      <c r="T5" s="76"/>
      <c r="U5" s="76"/>
      <c r="V5" s="76"/>
      <c r="W5" s="76"/>
      <c r="X5" s="76"/>
      <c r="Y5" s="76"/>
      <c r="Z5" s="76"/>
    </row>
    <row r="6" spans="1:26" x14ac:dyDescent="0.2">
      <c r="A6" s="76"/>
      <c r="B6" s="76"/>
      <c r="C6" s="76"/>
      <c r="D6" s="76"/>
      <c r="E6" s="76"/>
      <c r="F6" s="76"/>
      <c r="G6" s="76"/>
      <c r="H6" s="76"/>
      <c r="I6" s="76"/>
      <c r="J6" s="76"/>
      <c r="K6" s="76"/>
      <c r="L6" s="76"/>
      <c r="M6" s="76"/>
      <c r="N6" s="76"/>
      <c r="O6" s="76"/>
      <c r="P6" s="76"/>
      <c r="Q6" s="76"/>
      <c r="R6" s="76"/>
      <c r="S6" s="76"/>
      <c r="T6" s="76"/>
      <c r="U6" s="76"/>
      <c r="V6" s="76"/>
      <c r="W6" s="76"/>
      <c r="X6" s="76"/>
      <c r="Y6" s="76"/>
      <c r="Z6" s="76"/>
    </row>
    <row r="7" spans="1:26" x14ac:dyDescent="0.2">
      <c r="A7" s="76"/>
      <c r="B7" s="76"/>
      <c r="C7" s="76"/>
      <c r="D7" s="76"/>
      <c r="E7" s="76"/>
      <c r="F7" s="76"/>
      <c r="G7" s="76"/>
      <c r="H7" s="76"/>
      <c r="I7" s="76"/>
      <c r="J7" s="76"/>
      <c r="K7" s="76"/>
      <c r="L7" s="76"/>
      <c r="M7" s="76"/>
      <c r="N7" s="76"/>
      <c r="O7" s="76"/>
      <c r="P7" s="76"/>
      <c r="Q7" s="76"/>
      <c r="R7" s="76"/>
      <c r="S7" s="76"/>
      <c r="T7" s="76"/>
      <c r="U7" s="76"/>
      <c r="V7" s="76"/>
      <c r="W7" s="76"/>
      <c r="X7" s="76"/>
      <c r="Y7" s="76"/>
      <c r="Z7" s="76"/>
    </row>
    <row r="8" spans="1:26" x14ac:dyDescent="0.2">
      <c r="A8" s="76"/>
      <c r="B8" s="76"/>
      <c r="C8" s="76"/>
      <c r="D8" s="76"/>
      <c r="E8" s="76"/>
      <c r="F8" s="76"/>
      <c r="G8" s="76"/>
      <c r="H8" s="76"/>
      <c r="I8" s="76"/>
      <c r="J8" s="76"/>
      <c r="K8" s="76"/>
      <c r="L8" s="76"/>
      <c r="M8" s="76"/>
      <c r="N8" s="76"/>
      <c r="O8" s="76"/>
      <c r="P8" s="76"/>
      <c r="Q8" s="76"/>
      <c r="R8" s="76"/>
      <c r="S8" s="76"/>
      <c r="T8" s="76"/>
      <c r="U8" s="76"/>
      <c r="V8" s="76"/>
      <c r="W8" s="76"/>
      <c r="X8" s="76"/>
      <c r="Y8" s="76"/>
      <c r="Z8" s="76"/>
    </row>
    <row r="9" spans="1:26" x14ac:dyDescent="0.2">
      <c r="A9" s="76"/>
      <c r="B9" s="76"/>
      <c r="C9" s="76"/>
      <c r="D9" s="76"/>
      <c r="E9" s="76"/>
      <c r="F9" s="76"/>
      <c r="G9" s="76"/>
      <c r="H9" s="76"/>
      <c r="I9" s="76"/>
      <c r="J9" s="76"/>
      <c r="K9" s="76"/>
      <c r="L9" s="76"/>
      <c r="M9" s="76"/>
      <c r="N9" s="76"/>
      <c r="O9" s="76"/>
      <c r="P9" s="76"/>
      <c r="Q9" s="76"/>
      <c r="R9" s="76"/>
      <c r="S9" s="76"/>
      <c r="T9" s="76"/>
      <c r="U9" s="76"/>
      <c r="V9" s="76"/>
      <c r="W9" s="76"/>
      <c r="X9" s="76"/>
      <c r="Y9" s="76"/>
      <c r="Z9" s="76"/>
    </row>
    <row r="10" spans="1:26" x14ac:dyDescent="0.2">
      <c r="A10" s="76"/>
      <c r="B10" s="76"/>
      <c r="C10" s="76"/>
      <c r="D10" s="76"/>
      <c r="E10" s="76"/>
      <c r="F10" s="76"/>
      <c r="G10" s="76"/>
      <c r="H10" s="76"/>
      <c r="I10" s="76"/>
      <c r="J10" s="76"/>
      <c r="K10" s="76"/>
      <c r="L10" s="76"/>
      <c r="M10" s="76"/>
      <c r="N10" s="76"/>
      <c r="O10" s="76"/>
      <c r="P10" s="76"/>
      <c r="Q10" s="76"/>
      <c r="R10" s="76"/>
      <c r="S10" s="76"/>
      <c r="T10" s="76"/>
      <c r="U10" s="76"/>
      <c r="V10" s="76"/>
      <c r="W10" s="76"/>
      <c r="X10" s="76"/>
      <c r="Y10" s="76"/>
      <c r="Z10" s="76"/>
    </row>
    <row r="11" spans="1:26" x14ac:dyDescent="0.2">
      <c r="A11" s="76"/>
      <c r="B11" s="76"/>
      <c r="C11" s="76"/>
      <c r="D11" s="76"/>
      <c r="E11" s="76"/>
      <c r="F11" s="76"/>
      <c r="G11" s="76"/>
      <c r="H11" s="76"/>
      <c r="I11" s="76"/>
      <c r="J11" s="76"/>
      <c r="K11" s="76"/>
      <c r="L11" s="76"/>
      <c r="M11" s="76"/>
      <c r="N11" s="76"/>
      <c r="O11" s="76"/>
      <c r="P11" s="76"/>
      <c r="Q11" s="76"/>
      <c r="R11" s="76"/>
      <c r="S11" s="76"/>
      <c r="T11" s="76"/>
      <c r="U11" s="76"/>
      <c r="V11" s="76"/>
      <c r="W11" s="76"/>
      <c r="X11" s="76"/>
      <c r="Y11" s="76"/>
      <c r="Z11" s="76"/>
    </row>
    <row r="12" spans="1:26" x14ac:dyDescent="0.2">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row>
    <row r="13" spans="1:26" x14ac:dyDescent="0.2">
      <c r="A13" s="76"/>
      <c r="B13" s="76"/>
      <c r="C13" s="76"/>
      <c r="D13" s="76"/>
      <c r="E13" s="76"/>
      <c r="F13" s="76"/>
      <c r="G13" s="76"/>
      <c r="H13" s="76"/>
      <c r="I13" s="76"/>
      <c r="J13" s="76"/>
      <c r="K13" s="76"/>
      <c r="L13" s="76"/>
      <c r="M13" s="76"/>
      <c r="N13" s="76"/>
      <c r="O13" s="76"/>
      <c r="P13" s="76"/>
      <c r="Q13" s="76"/>
      <c r="R13" s="76"/>
      <c r="S13" s="76"/>
      <c r="T13" s="76"/>
      <c r="U13" s="76"/>
      <c r="V13" s="76"/>
      <c r="W13" s="76"/>
      <c r="X13" s="76"/>
      <c r="Y13" s="76"/>
      <c r="Z13" s="76"/>
    </row>
    <row r="14" spans="1:26" x14ac:dyDescent="0.2">
      <c r="A14" s="76"/>
      <c r="B14" s="76"/>
      <c r="C14" s="76"/>
      <c r="D14" s="76"/>
      <c r="E14" s="76"/>
      <c r="F14" s="76"/>
      <c r="G14" s="76"/>
      <c r="H14" s="76"/>
      <c r="I14" s="76"/>
      <c r="J14" s="76"/>
      <c r="K14" s="76"/>
      <c r="L14" s="76"/>
      <c r="M14" s="76"/>
      <c r="N14" s="76"/>
      <c r="O14" s="76"/>
      <c r="P14" s="76"/>
      <c r="Q14" s="76"/>
      <c r="R14" s="76"/>
      <c r="S14" s="76"/>
      <c r="T14" s="76"/>
      <c r="U14" s="76"/>
      <c r="V14" s="76"/>
      <c r="W14" s="76"/>
      <c r="X14" s="76"/>
      <c r="Y14" s="76"/>
      <c r="Z14" s="76"/>
    </row>
    <row r="15" spans="1:26" x14ac:dyDescent="0.2">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row>
    <row r="16" spans="1:26" x14ac:dyDescent="0.2">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row>
    <row r="17" spans="1:26" x14ac:dyDescent="0.2">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row>
    <row r="18" spans="1:26" x14ac:dyDescent="0.2">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spans="1:26" x14ac:dyDescent="0.2">
      <c r="A19" s="257"/>
      <c r="B19" s="76"/>
      <c r="C19" s="76"/>
      <c r="D19" s="76"/>
      <c r="E19" s="76"/>
      <c r="F19" s="76"/>
      <c r="G19" s="76"/>
      <c r="H19" s="76"/>
      <c r="I19" s="76"/>
      <c r="J19" s="76"/>
      <c r="K19" s="76"/>
      <c r="L19" s="76"/>
      <c r="M19" s="76"/>
      <c r="N19" s="76"/>
      <c r="O19" s="76"/>
      <c r="P19" s="76"/>
      <c r="Q19" s="76"/>
      <c r="R19" s="76"/>
      <c r="S19" s="76"/>
      <c r="T19" s="76"/>
      <c r="U19" s="76"/>
      <c r="V19" s="76"/>
      <c r="W19" s="76"/>
      <c r="X19" s="76"/>
      <c r="Y19" s="76"/>
      <c r="Z19" s="76"/>
    </row>
    <row r="20" spans="1:26" x14ac:dyDescent="0.2">
      <c r="A20" s="257"/>
      <c r="B20" s="76"/>
      <c r="C20" s="76"/>
      <c r="D20" s="76"/>
      <c r="E20" s="76"/>
      <c r="F20" s="76"/>
      <c r="G20" s="76"/>
      <c r="H20" s="76"/>
      <c r="I20" s="76"/>
      <c r="J20" s="76"/>
      <c r="K20" s="76"/>
      <c r="L20" s="76"/>
      <c r="M20" s="76"/>
      <c r="N20" s="76"/>
      <c r="O20" s="76"/>
      <c r="P20" s="76"/>
      <c r="Q20" s="76"/>
      <c r="R20" s="76"/>
      <c r="S20" s="76"/>
      <c r="T20" s="76"/>
      <c r="U20" s="76"/>
      <c r="V20" s="76"/>
      <c r="W20" s="76"/>
      <c r="X20" s="76"/>
      <c r="Y20" s="76"/>
      <c r="Z20" s="76"/>
    </row>
    <row r="21" spans="1:26" x14ac:dyDescent="0.2">
      <c r="A21" s="257"/>
      <c r="B21" s="76"/>
      <c r="C21" s="76"/>
      <c r="D21" s="76"/>
      <c r="E21" s="76"/>
      <c r="F21" s="76"/>
      <c r="G21" s="76"/>
      <c r="H21" s="76"/>
      <c r="I21" s="76"/>
      <c r="J21" s="76"/>
      <c r="K21" s="76"/>
      <c r="L21" s="76"/>
      <c r="M21" s="76"/>
      <c r="N21" s="76"/>
      <c r="O21" s="76"/>
      <c r="P21" s="76"/>
      <c r="Q21" s="76"/>
      <c r="R21" s="76"/>
      <c r="S21" s="76"/>
      <c r="T21" s="76"/>
      <c r="U21" s="76"/>
      <c r="V21" s="76"/>
      <c r="W21" s="76"/>
      <c r="X21" s="76"/>
      <c r="Y21" s="76"/>
      <c r="Z21" s="76"/>
    </row>
    <row r="22" spans="1:26" x14ac:dyDescent="0.2">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row>
    <row r="23" spans="1:26" x14ac:dyDescent="0.2">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row>
    <row r="24" spans="1:26" x14ac:dyDescent="0.2">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row>
    <row r="25" spans="1:26" x14ac:dyDescent="0.2">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row>
    <row r="26" spans="1:26" x14ac:dyDescent="0.2">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row>
    <row r="27" spans="1:26" x14ac:dyDescent="0.2">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row>
    <row r="28" spans="1:26" x14ac:dyDescent="0.2">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row>
    <row r="29" spans="1:26" x14ac:dyDescent="0.2">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row>
    <row r="30" spans="1:26" x14ac:dyDescent="0.2">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row>
    <row r="31" spans="1:26" x14ac:dyDescent="0.2">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row>
    <row r="32" spans="1:26" x14ac:dyDescent="0.2">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row>
    <row r="33" spans="1:26" x14ac:dyDescent="0.2">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spans="1:26" x14ac:dyDescent="0.2">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spans="1:26" x14ac:dyDescent="0.2">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spans="1:26" x14ac:dyDescent="0.2">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spans="1:26" x14ac:dyDescent="0.2">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spans="1:26" x14ac:dyDescent="0.2">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row>
    <row r="39" spans="1:26" x14ac:dyDescent="0.2">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x14ac:dyDescent="0.2">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spans="1:26" x14ac:dyDescent="0.2">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row r="42" spans="1:26" x14ac:dyDescent="0.2">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row>
    <row r="43" spans="1:26" x14ac:dyDescent="0.2">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spans="1:26" x14ac:dyDescent="0.2">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spans="1:26" x14ac:dyDescent="0.2">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spans="1:26" x14ac:dyDescent="0.2">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spans="1:26" x14ac:dyDescent="0.2">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spans="1:26" x14ac:dyDescent="0.2">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spans="1:26" x14ac:dyDescent="0.2">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spans="1:26" x14ac:dyDescent="0.2">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sheetData>
  <mergeCells count="1">
    <mergeCell ref="A19:A21"/>
  </mergeCells>
  <hyperlinks>
    <hyperlink ref="A1" location="Navigation!A1" display="Navigation!A1" xr:uid="{00000000-0004-0000-0800-000000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1:AC50"/>
  <sheetViews>
    <sheetView topLeftCell="A2" zoomScale="80" zoomScaleNormal="80" workbookViewId="0">
      <selection activeCell="K41" sqref="K41"/>
    </sheetView>
  </sheetViews>
  <sheetFormatPr baseColWidth="10" defaultColWidth="10.6640625" defaultRowHeight="16" x14ac:dyDescent="0.2"/>
  <sheetData>
    <row r="1" spans="1:29" ht="24" x14ac:dyDescent="0.2">
      <c r="A1" s="80" t="s">
        <v>57</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row>
    <row r="2" spans="1:29" x14ac:dyDescent="0.2">
      <c r="A2" s="76"/>
      <c r="B2" s="76"/>
      <c r="C2" s="76"/>
      <c r="D2" s="76"/>
      <c r="E2" s="76"/>
      <c r="F2" s="76"/>
      <c r="G2" s="76"/>
      <c r="H2" s="76"/>
      <c r="I2" s="76"/>
      <c r="J2" s="76"/>
      <c r="K2" s="76"/>
      <c r="L2" s="76"/>
      <c r="M2" s="76"/>
      <c r="N2" s="76"/>
      <c r="O2" s="76"/>
      <c r="P2" s="76"/>
      <c r="Q2" s="76"/>
      <c r="R2" s="76"/>
      <c r="S2" s="76"/>
      <c r="T2" s="76"/>
      <c r="U2" s="76"/>
      <c r="V2" s="76"/>
      <c r="W2" s="76"/>
      <c r="X2" s="76"/>
      <c r="Y2" s="76"/>
      <c r="Z2" s="76"/>
      <c r="AA2" s="76"/>
      <c r="AB2" s="76"/>
      <c r="AC2" s="76"/>
    </row>
    <row r="3" spans="1:29" x14ac:dyDescent="0.2">
      <c r="A3" s="76"/>
      <c r="B3" s="76"/>
      <c r="C3" s="76"/>
      <c r="D3" s="76"/>
      <c r="E3" s="76"/>
      <c r="F3" s="76"/>
      <c r="G3" s="76"/>
      <c r="H3" s="76"/>
      <c r="I3" s="76"/>
      <c r="J3" s="76"/>
      <c r="K3" s="76"/>
      <c r="L3" s="76"/>
      <c r="M3" s="76"/>
      <c r="N3" s="76"/>
      <c r="O3" s="76"/>
      <c r="P3" s="76"/>
      <c r="Q3" s="76"/>
      <c r="R3" s="76"/>
      <c r="S3" s="76"/>
      <c r="T3" s="76"/>
      <c r="U3" s="76"/>
      <c r="V3" s="76"/>
      <c r="W3" s="76"/>
      <c r="X3" s="76"/>
      <c r="Y3" s="76"/>
      <c r="Z3" s="76"/>
      <c r="AA3" s="76"/>
      <c r="AB3" s="76"/>
      <c r="AC3" s="76"/>
    </row>
    <row r="4" spans="1:29" x14ac:dyDescent="0.2">
      <c r="A4" s="76"/>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76"/>
    </row>
    <row r="5" spans="1:29" x14ac:dyDescent="0.2">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row>
    <row r="6" spans="1:29" x14ac:dyDescent="0.2">
      <c r="A6" s="76"/>
      <c r="B6" s="76"/>
      <c r="C6" s="76"/>
      <c r="D6" s="76"/>
      <c r="E6" s="76"/>
      <c r="F6" s="76"/>
      <c r="G6" s="76"/>
      <c r="H6" s="76"/>
      <c r="I6" s="76"/>
      <c r="J6" s="76"/>
      <c r="K6" s="76"/>
      <c r="L6" s="76"/>
      <c r="M6" s="76"/>
      <c r="N6" s="76"/>
      <c r="O6" s="76"/>
      <c r="P6" s="76"/>
      <c r="Q6" s="76"/>
      <c r="R6" s="76"/>
      <c r="S6" s="76"/>
      <c r="T6" s="76"/>
      <c r="U6" s="76"/>
      <c r="V6" s="76"/>
      <c r="W6" s="76"/>
      <c r="X6" s="76"/>
      <c r="Y6" s="76"/>
      <c r="Z6" s="76"/>
      <c r="AA6" s="76"/>
      <c r="AB6" s="76"/>
      <c r="AC6" s="76"/>
    </row>
    <row r="7" spans="1:29" x14ac:dyDescent="0.2">
      <c r="A7" s="76"/>
      <c r="B7" s="76"/>
      <c r="C7" s="76"/>
      <c r="D7" s="76"/>
      <c r="E7" s="76"/>
      <c r="F7" s="76"/>
      <c r="G7" s="76"/>
      <c r="H7" s="76"/>
      <c r="I7" s="76"/>
      <c r="J7" s="76"/>
      <c r="K7" s="76"/>
      <c r="L7" s="76"/>
      <c r="M7" s="76"/>
      <c r="N7" s="76"/>
      <c r="O7" s="76"/>
      <c r="P7" s="76"/>
      <c r="Q7" s="76"/>
      <c r="R7" s="76"/>
      <c r="S7" s="76"/>
      <c r="T7" s="76"/>
      <c r="U7" s="76"/>
      <c r="V7" s="76"/>
      <c r="W7" s="76"/>
      <c r="X7" s="76"/>
      <c r="Y7" s="76"/>
      <c r="Z7" s="76"/>
      <c r="AA7" s="76"/>
      <c r="AB7" s="76"/>
      <c r="AC7" s="76"/>
    </row>
    <row r="8" spans="1:29" x14ac:dyDescent="0.2">
      <c r="A8" s="76"/>
      <c r="B8" s="76"/>
      <c r="C8" s="76"/>
      <c r="D8" s="76"/>
      <c r="E8" s="76"/>
      <c r="F8" s="76"/>
      <c r="G8" s="76"/>
      <c r="H8" s="76"/>
      <c r="I8" s="76"/>
      <c r="J8" s="76"/>
      <c r="K8" s="76"/>
      <c r="L8" s="76"/>
      <c r="M8" s="76"/>
      <c r="N8" s="76"/>
      <c r="O8" s="76"/>
      <c r="P8" s="76"/>
      <c r="Q8" s="76"/>
      <c r="R8" s="76"/>
      <c r="S8" s="76"/>
      <c r="T8" s="76"/>
      <c r="U8" s="76"/>
      <c r="V8" s="76"/>
      <c r="W8" s="76"/>
      <c r="X8" s="76"/>
      <c r="Y8" s="76"/>
      <c r="Z8" s="76"/>
      <c r="AA8" s="76"/>
      <c r="AB8" s="76"/>
      <c r="AC8" s="76"/>
    </row>
    <row r="9" spans="1:29" x14ac:dyDescent="0.2">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row>
    <row r="10" spans="1:29" x14ac:dyDescent="0.2">
      <c r="A10" s="76"/>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6"/>
    </row>
    <row r="11" spans="1:29" x14ac:dyDescent="0.2">
      <c r="A11" s="76"/>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row>
    <row r="12" spans="1:29" x14ac:dyDescent="0.2">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row>
    <row r="13" spans="1:29" x14ac:dyDescent="0.2">
      <c r="A13" s="76"/>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6"/>
    </row>
    <row r="14" spans="1:29" x14ac:dyDescent="0.2">
      <c r="A14" s="76"/>
      <c r="B14" s="76"/>
      <c r="C14" s="76"/>
      <c r="D14" s="76"/>
      <c r="E14" s="76"/>
      <c r="F14" s="76"/>
      <c r="G14" s="76"/>
      <c r="H14" s="76"/>
      <c r="I14" s="76"/>
      <c r="J14" s="76"/>
      <c r="K14" s="76"/>
      <c r="L14" s="76"/>
      <c r="M14" s="76"/>
      <c r="N14" s="76"/>
      <c r="O14" s="76"/>
      <c r="P14" s="76"/>
      <c r="Q14" s="76"/>
      <c r="R14" s="76"/>
      <c r="S14" s="76"/>
      <c r="T14" s="76"/>
      <c r="U14" s="76"/>
      <c r="V14" s="76"/>
      <c r="W14" s="76"/>
      <c r="X14" s="76"/>
      <c r="Y14" s="76"/>
      <c r="Z14" s="76"/>
      <c r="AA14" s="76"/>
      <c r="AB14" s="76"/>
      <c r="AC14" s="76"/>
    </row>
    <row r="15" spans="1:29" x14ac:dyDescent="0.2">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row>
    <row r="16" spans="1:29" x14ac:dyDescent="0.2">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6"/>
    </row>
    <row r="17" spans="1:29" x14ac:dyDescent="0.2">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6"/>
    </row>
    <row r="18" spans="1:29" x14ac:dyDescent="0.2">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6"/>
    </row>
    <row r="19" spans="1:29" x14ac:dyDescent="0.2">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6"/>
    </row>
    <row r="20" spans="1:29" x14ac:dyDescent="0.2">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row>
    <row r="21" spans="1:29" x14ac:dyDescent="0.2">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6"/>
      <c r="AC21" s="76"/>
    </row>
    <row r="22" spans="1:29" x14ac:dyDescent="0.2">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6"/>
    </row>
    <row r="23" spans="1:29" x14ac:dyDescent="0.2">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6"/>
    </row>
    <row r="24" spans="1:29" x14ac:dyDescent="0.2">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6"/>
      <c r="AC24" s="76"/>
    </row>
    <row r="25" spans="1:29" x14ac:dyDescent="0.2">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6"/>
    </row>
    <row r="26" spans="1:29" x14ac:dyDescent="0.2">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row>
    <row r="27" spans="1:29" x14ac:dyDescent="0.2">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6"/>
    </row>
    <row r="28" spans="1:29" x14ac:dyDescent="0.2">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6"/>
    </row>
    <row r="29" spans="1:29" x14ac:dyDescent="0.2">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row>
    <row r="30" spans="1:29" x14ac:dyDescent="0.2">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row>
    <row r="31" spans="1:29" x14ac:dyDescent="0.2">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row>
    <row r="32" spans="1:29" x14ac:dyDescent="0.2">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row>
    <row r="33" spans="1:29" x14ac:dyDescent="0.2">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row>
    <row r="34" spans="1:29" x14ac:dyDescent="0.2">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row>
    <row r="35" spans="1:29" x14ac:dyDescent="0.2">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row>
    <row r="36" spans="1:29" x14ac:dyDescent="0.2">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row>
    <row r="37" spans="1:29" x14ac:dyDescent="0.2">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row>
    <row r="38" spans="1:29" x14ac:dyDescent="0.2">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row>
    <row r="39" spans="1:29" x14ac:dyDescent="0.2">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row>
    <row r="40" spans="1:29" x14ac:dyDescent="0.2">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row>
    <row r="41" spans="1:29" x14ac:dyDescent="0.2">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row>
    <row r="42" spans="1:29" x14ac:dyDescent="0.2">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row>
    <row r="43" spans="1:29" x14ac:dyDescent="0.2">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row>
    <row r="44" spans="1:29" x14ac:dyDescent="0.2">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row>
    <row r="45" spans="1:29" x14ac:dyDescent="0.2">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row>
    <row r="46" spans="1:29" x14ac:dyDescent="0.2">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row>
    <row r="47" spans="1:29" x14ac:dyDescent="0.2">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row>
    <row r="48" spans="1:29" x14ac:dyDescent="0.2">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row>
    <row r="49" spans="1:29" x14ac:dyDescent="0.2">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row>
    <row r="50" spans="1:29" x14ac:dyDescent="0.2">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row>
  </sheetData>
  <hyperlinks>
    <hyperlink ref="A1" location="Navigation!A1" display="Navigation!A1" xr:uid="{00000000-0004-0000-09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sheetPr>
  <dimension ref="A1:Z50"/>
  <sheetViews>
    <sheetView zoomScale="90" zoomScaleNormal="90" workbookViewId="0"/>
  </sheetViews>
  <sheetFormatPr baseColWidth="10" defaultColWidth="10.6640625" defaultRowHeight="16" x14ac:dyDescent="0.2"/>
  <sheetData>
    <row r="1" spans="1:26" ht="24" x14ac:dyDescent="0.2">
      <c r="A1" s="80" t="s">
        <v>57</v>
      </c>
      <c r="B1" s="76"/>
      <c r="C1" s="76"/>
      <c r="D1" s="76"/>
      <c r="E1" s="76"/>
      <c r="F1" s="76"/>
      <c r="G1" s="76"/>
      <c r="H1" s="76"/>
      <c r="I1" s="76"/>
      <c r="J1" s="76"/>
      <c r="K1" s="76"/>
      <c r="L1" s="76"/>
      <c r="M1" s="76"/>
      <c r="N1" s="76"/>
      <c r="O1" s="76"/>
      <c r="P1" s="76"/>
      <c r="Q1" s="76"/>
      <c r="R1" s="76"/>
      <c r="S1" s="76"/>
      <c r="T1" s="76"/>
      <c r="U1" s="76"/>
      <c r="V1" s="76"/>
      <c r="W1" s="76"/>
      <c r="X1" s="76"/>
      <c r="Y1" s="76"/>
      <c r="Z1" s="76"/>
    </row>
    <row r="2" spans="1:26" x14ac:dyDescent="0.2">
      <c r="A2" s="76"/>
      <c r="B2" s="76"/>
      <c r="C2" s="76"/>
      <c r="D2" s="76"/>
      <c r="E2" s="76"/>
      <c r="F2" s="76"/>
      <c r="G2" s="76"/>
      <c r="H2" s="76"/>
      <c r="I2" s="76"/>
      <c r="J2" s="76"/>
      <c r="K2" s="76"/>
      <c r="L2" s="76"/>
      <c r="M2" s="76"/>
      <c r="N2" s="76"/>
      <c r="O2" s="76"/>
      <c r="P2" s="76"/>
      <c r="Q2" s="76"/>
      <c r="R2" s="76"/>
      <c r="S2" s="76"/>
      <c r="T2" s="76"/>
      <c r="U2" s="76"/>
      <c r="V2" s="76"/>
      <c r="W2" s="76"/>
      <c r="X2" s="76"/>
      <c r="Y2" s="76"/>
      <c r="Z2" s="76"/>
    </row>
    <row r="3" spans="1:26" x14ac:dyDescent="0.2">
      <c r="A3" s="76"/>
      <c r="B3" s="76"/>
      <c r="C3" s="76"/>
      <c r="D3" s="76"/>
      <c r="E3" s="76"/>
      <c r="F3" s="76"/>
      <c r="G3" s="76"/>
      <c r="H3" s="76"/>
      <c r="I3" s="76"/>
      <c r="J3" s="76"/>
      <c r="K3" s="76"/>
      <c r="L3" s="76"/>
      <c r="M3" s="76"/>
      <c r="N3" s="76"/>
      <c r="O3" s="76"/>
      <c r="P3" s="76"/>
      <c r="Q3" s="76"/>
      <c r="R3" s="76"/>
      <c r="S3" s="76"/>
      <c r="T3" s="76"/>
      <c r="U3" s="76"/>
      <c r="V3" s="76"/>
      <c r="W3" s="76"/>
      <c r="X3" s="76"/>
      <c r="Y3" s="76"/>
      <c r="Z3" s="76"/>
    </row>
    <row r="4" spans="1:26" x14ac:dyDescent="0.2">
      <c r="A4" s="76"/>
      <c r="B4" s="76"/>
      <c r="C4" s="76"/>
      <c r="D4" s="76"/>
      <c r="E4" s="76"/>
      <c r="F4" s="76"/>
      <c r="G4" s="76"/>
      <c r="H4" s="76"/>
      <c r="I4" s="76"/>
      <c r="J4" s="76"/>
      <c r="K4" s="76"/>
      <c r="L4" s="76"/>
      <c r="M4" s="76"/>
      <c r="N4" s="76"/>
      <c r="O4" s="76"/>
      <c r="P4" s="76"/>
      <c r="Q4" s="76"/>
      <c r="R4" s="76"/>
      <c r="S4" s="76"/>
      <c r="T4" s="76"/>
      <c r="U4" s="76"/>
      <c r="V4" s="76"/>
      <c r="W4" s="76"/>
      <c r="X4" s="76"/>
      <c r="Y4" s="76"/>
      <c r="Z4" s="76"/>
    </row>
    <row r="5" spans="1:26" x14ac:dyDescent="0.2">
      <c r="A5" s="76"/>
      <c r="B5" s="76"/>
      <c r="C5" s="76"/>
      <c r="D5" s="76"/>
      <c r="E5" s="76"/>
      <c r="F5" s="76"/>
      <c r="G5" s="76"/>
      <c r="H5" s="76"/>
      <c r="I5" s="76"/>
      <c r="J5" s="76"/>
      <c r="K5" s="76"/>
      <c r="L5" s="76"/>
      <c r="M5" s="76"/>
      <c r="N5" s="76"/>
      <c r="O5" s="76"/>
      <c r="P5" s="76"/>
      <c r="Q5" s="76"/>
      <c r="R5" s="76"/>
      <c r="S5" s="76"/>
      <c r="T5" s="76"/>
      <c r="U5" s="76"/>
      <c r="V5" s="76"/>
      <c r="W5" s="76"/>
      <c r="X5" s="76"/>
      <c r="Y5" s="76"/>
      <c r="Z5" s="76"/>
    </row>
    <row r="6" spans="1:26" x14ac:dyDescent="0.2">
      <c r="A6" s="76"/>
      <c r="B6" s="76"/>
      <c r="C6" s="76"/>
      <c r="D6" s="76"/>
      <c r="E6" s="76"/>
      <c r="F6" s="76"/>
      <c r="G6" s="76"/>
      <c r="H6" s="76"/>
      <c r="I6" s="76"/>
      <c r="J6" s="76"/>
      <c r="K6" s="76"/>
      <c r="L6" s="76"/>
      <c r="M6" s="76"/>
      <c r="N6" s="76"/>
      <c r="O6" s="76"/>
      <c r="P6" s="76"/>
      <c r="Q6" s="76"/>
      <c r="R6" s="76"/>
      <c r="S6" s="76"/>
      <c r="T6" s="76"/>
      <c r="U6" s="76"/>
      <c r="V6" s="76"/>
      <c r="W6" s="76"/>
      <c r="X6" s="76"/>
      <c r="Y6" s="76"/>
      <c r="Z6" s="76"/>
    </row>
    <row r="7" spans="1:26" x14ac:dyDescent="0.2">
      <c r="A7" s="76"/>
      <c r="B7" s="76"/>
      <c r="C7" s="76"/>
      <c r="D7" s="76"/>
      <c r="E7" s="76"/>
      <c r="F7" s="76"/>
      <c r="G7" s="76"/>
      <c r="H7" s="76"/>
      <c r="I7" s="76"/>
      <c r="J7" s="76"/>
      <c r="K7" s="76"/>
      <c r="L7" s="76"/>
      <c r="M7" s="76"/>
      <c r="N7" s="76"/>
      <c r="O7" s="76"/>
      <c r="P7" s="76"/>
      <c r="Q7" s="76"/>
      <c r="R7" s="76"/>
      <c r="S7" s="76"/>
      <c r="T7" s="76"/>
      <c r="U7" s="76"/>
      <c r="V7" s="76"/>
      <c r="W7" s="76"/>
      <c r="X7" s="76"/>
      <c r="Y7" s="76"/>
      <c r="Z7" s="76"/>
    </row>
    <row r="8" spans="1:26" x14ac:dyDescent="0.2">
      <c r="A8" s="76"/>
      <c r="B8" s="76"/>
      <c r="C8" s="76"/>
      <c r="D8" s="76"/>
      <c r="E8" s="76"/>
      <c r="F8" s="76"/>
      <c r="G8" s="76"/>
      <c r="H8" s="76"/>
      <c r="I8" s="76"/>
      <c r="J8" s="76"/>
      <c r="K8" s="76"/>
      <c r="L8" s="76"/>
      <c r="M8" s="76"/>
      <c r="N8" s="76"/>
      <c r="O8" s="76"/>
      <c r="P8" s="76"/>
      <c r="Q8" s="76"/>
      <c r="R8" s="76"/>
      <c r="S8" s="76"/>
      <c r="T8" s="76"/>
      <c r="U8" s="76"/>
      <c r="V8" s="76"/>
      <c r="W8" s="76"/>
      <c r="X8" s="76"/>
      <c r="Y8" s="76"/>
      <c r="Z8" s="76"/>
    </row>
    <row r="9" spans="1:26" x14ac:dyDescent="0.2">
      <c r="A9" s="76"/>
      <c r="B9" s="76"/>
      <c r="C9" s="76"/>
      <c r="D9" s="76"/>
      <c r="E9" s="76"/>
      <c r="F9" s="76"/>
      <c r="G9" s="76"/>
      <c r="H9" s="76"/>
      <c r="I9" s="76"/>
      <c r="J9" s="76"/>
      <c r="K9" s="76"/>
      <c r="L9" s="76"/>
      <c r="M9" s="76"/>
      <c r="N9" s="76"/>
      <c r="O9" s="76"/>
      <c r="P9" s="76"/>
      <c r="Q9" s="76"/>
      <c r="R9" s="76"/>
      <c r="S9" s="76"/>
      <c r="T9" s="76"/>
      <c r="U9" s="76"/>
      <c r="V9" s="76"/>
      <c r="W9" s="76"/>
      <c r="X9" s="76"/>
      <c r="Y9" s="76"/>
      <c r="Z9" s="76"/>
    </row>
    <row r="10" spans="1:26" x14ac:dyDescent="0.2">
      <c r="A10" s="76"/>
      <c r="B10" s="76"/>
      <c r="C10" s="76"/>
      <c r="D10" s="76"/>
      <c r="E10" s="76"/>
      <c r="F10" s="76"/>
      <c r="G10" s="76"/>
      <c r="H10" s="76"/>
      <c r="I10" s="76"/>
      <c r="J10" s="76"/>
      <c r="K10" s="76"/>
      <c r="L10" s="76"/>
      <c r="M10" s="76"/>
      <c r="N10" s="76"/>
      <c r="O10" s="76"/>
      <c r="P10" s="76"/>
      <c r="Q10" s="76"/>
      <c r="R10" s="76"/>
      <c r="S10" s="76"/>
      <c r="T10" s="76"/>
      <c r="U10" s="76"/>
      <c r="V10" s="76"/>
      <c r="W10" s="76"/>
      <c r="X10" s="76"/>
      <c r="Y10" s="76"/>
      <c r="Z10" s="76"/>
    </row>
    <row r="11" spans="1:26" x14ac:dyDescent="0.2">
      <c r="A11" s="76"/>
      <c r="B11" s="76"/>
      <c r="C11" s="76"/>
      <c r="D11" s="76"/>
      <c r="E11" s="76"/>
      <c r="F11" s="76"/>
      <c r="G11" s="76"/>
      <c r="H11" s="76"/>
      <c r="I11" s="76"/>
      <c r="J11" s="76"/>
      <c r="K11" s="76"/>
      <c r="L11" s="76"/>
      <c r="M11" s="76"/>
      <c r="N11" s="76"/>
      <c r="O11" s="76"/>
      <c r="P11" s="76"/>
      <c r="Q11" s="76"/>
      <c r="R11" s="76"/>
      <c r="S11" s="76"/>
      <c r="T11" s="76"/>
      <c r="U11" s="76"/>
      <c r="V11" s="76"/>
      <c r="W11" s="76"/>
      <c r="X11" s="76"/>
      <c r="Y11" s="76"/>
      <c r="Z11" s="76"/>
    </row>
    <row r="12" spans="1:26" x14ac:dyDescent="0.2">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row>
    <row r="13" spans="1:26" x14ac:dyDescent="0.2">
      <c r="A13" s="76"/>
      <c r="B13" s="76"/>
      <c r="C13" s="76"/>
      <c r="D13" s="76"/>
      <c r="E13" s="76"/>
      <c r="F13" s="76"/>
      <c r="G13" s="76"/>
      <c r="H13" s="76"/>
      <c r="I13" s="76"/>
      <c r="J13" s="76"/>
      <c r="K13" s="76"/>
      <c r="L13" s="76"/>
      <c r="M13" s="76"/>
      <c r="N13" s="76"/>
      <c r="O13" s="76"/>
      <c r="P13" s="76"/>
      <c r="Q13" s="76"/>
      <c r="R13" s="76"/>
      <c r="S13" s="76"/>
      <c r="T13" s="76"/>
      <c r="U13" s="76"/>
      <c r="V13" s="76"/>
      <c r="W13" s="76"/>
      <c r="X13" s="76"/>
      <c r="Y13" s="76"/>
      <c r="Z13" s="76"/>
    </row>
    <row r="14" spans="1:26" x14ac:dyDescent="0.2">
      <c r="A14" s="76"/>
      <c r="B14" s="76"/>
      <c r="C14" s="76"/>
      <c r="D14" s="76"/>
      <c r="E14" s="76"/>
      <c r="F14" s="76"/>
      <c r="G14" s="76"/>
      <c r="H14" s="76"/>
      <c r="I14" s="76"/>
      <c r="J14" s="76"/>
      <c r="K14" s="76"/>
      <c r="L14" s="76"/>
      <c r="M14" s="76"/>
      <c r="N14" s="76"/>
      <c r="O14" s="76"/>
      <c r="P14" s="76"/>
      <c r="Q14" s="76"/>
      <c r="R14" s="76"/>
      <c r="S14" s="76"/>
      <c r="T14" s="76"/>
      <c r="U14" s="76"/>
      <c r="V14" s="76"/>
      <c r="W14" s="76"/>
      <c r="X14" s="76"/>
      <c r="Y14" s="76"/>
      <c r="Z14" s="76"/>
    </row>
    <row r="15" spans="1:26" x14ac:dyDescent="0.2">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row>
    <row r="16" spans="1:26" x14ac:dyDescent="0.2">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row>
    <row r="17" spans="1:26" x14ac:dyDescent="0.2">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row>
    <row r="18" spans="1:26" x14ac:dyDescent="0.2">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spans="1:26" x14ac:dyDescent="0.2">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row>
    <row r="20" spans="1:26" x14ac:dyDescent="0.2">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row>
    <row r="21" spans="1:26" x14ac:dyDescent="0.2">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row>
    <row r="22" spans="1:26" x14ac:dyDescent="0.2">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row>
    <row r="23" spans="1:26" x14ac:dyDescent="0.2">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row>
    <row r="24" spans="1:26" x14ac:dyDescent="0.2">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row>
    <row r="25" spans="1:26" x14ac:dyDescent="0.2">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row>
    <row r="26" spans="1:26" x14ac:dyDescent="0.2">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row>
    <row r="27" spans="1:26" x14ac:dyDescent="0.2">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row>
    <row r="28" spans="1:26" x14ac:dyDescent="0.2">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row>
    <row r="29" spans="1:26" x14ac:dyDescent="0.2">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row>
    <row r="30" spans="1:26" x14ac:dyDescent="0.2">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row>
    <row r="31" spans="1:26" x14ac:dyDescent="0.2">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row>
    <row r="32" spans="1:26" x14ac:dyDescent="0.2">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row>
    <row r="33" spans="1:26" x14ac:dyDescent="0.2">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spans="1:26" x14ac:dyDescent="0.2">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spans="1:26" x14ac:dyDescent="0.2">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spans="1:26" x14ac:dyDescent="0.2">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spans="1:26" x14ac:dyDescent="0.2">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spans="1:26" x14ac:dyDescent="0.2">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row>
    <row r="39" spans="1:26" x14ac:dyDescent="0.2">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x14ac:dyDescent="0.2">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spans="1:26" x14ac:dyDescent="0.2">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row r="42" spans="1:26" x14ac:dyDescent="0.2">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row>
    <row r="43" spans="1:26" x14ac:dyDescent="0.2">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spans="1:26" x14ac:dyDescent="0.2">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spans="1:26" x14ac:dyDescent="0.2">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spans="1:26" x14ac:dyDescent="0.2">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spans="1:26" x14ac:dyDescent="0.2">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spans="1:26" x14ac:dyDescent="0.2">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spans="1:26" x14ac:dyDescent="0.2">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spans="1:26" x14ac:dyDescent="0.2">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sheetData>
  <hyperlinks>
    <hyperlink ref="A1" location="Navigation!A1" display="Navigation!A1" xr:uid="{00000000-0004-0000-0A00-00000000000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3"/>
  <sheetViews>
    <sheetView zoomScale="80" zoomScaleNormal="80" workbookViewId="0"/>
  </sheetViews>
  <sheetFormatPr baseColWidth="10" defaultColWidth="11" defaultRowHeight="16" x14ac:dyDescent="0.2"/>
  <cols>
    <col min="2" max="2" width="49.5" customWidth="1"/>
    <col min="3" max="7" width="27.83203125" customWidth="1"/>
    <col min="8" max="8" width="25" customWidth="1"/>
    <col min="73" max="73" width="49.5" customWidth="1"/>
    <col min="74" max="78" width="27.83203125" customWidth="1"/>
    <col min="79" max="79" width="25" customWidth="1"/>
  </cols>
  <sheetData>
    <row r="1" spans="1:8" ht="27" thickBot="1" x14ac:dyDescent="0.3">
      <c r="A1" s="241" t="s">
        <v>103</v>
      </c>
      <c r="B1" s="20" t="s">
        <v>17</v>
      </c>
      <c r="C1" s="13" t="s">
        <v>34</v>
      </c>
      <c r="D1" s="13" t="s">
        <v>35</v>
      </c>
      <c r="E1" s="13" t="s">
        <v>36</v>
      </c>
      <c r="F1" s="13" t="s">
        <v>37</v>
      </c>
      <c r="G1" s="13" t="s">
        <v>38</v>
      </c>
      <c r="H1" s="147" t="s">
        <v>82</v>
      </c>
    </row>
    <row r="2" spans="1:8" ht="31" x14ac:dyDescent="0.35">
      <c r="B2" s="16" t="s">
        <v>18</v>
      </c>
      <c r="C2" s="45"/>
      <c r="D2" s="45"/>
      <c r="E2" s="45"/>
      <c r="F2" s="45"/>
      <c r="G2" s="45">
        <v>462</v>
      </c>
    </row>
    <row r="3" spans="1:8" ht="31" x14ac:dyDescent="0.35">
      <c r="B3" s="17" t="s">
        <v>23</v>
      </c>
      <c r="C3" s="46"/>
      <c r="D3" s="46"/>
      <c r="E3" s="46"/>
      <c r="F3" s="46"/>
      <c r="G3" s="46">
        <v>393</v>
      </c>
    </row>
    <row r="4" spans="1:8" ht="31" x14ac:dyDescent="0.35">
      <c r="B4" s="17" t="s">
        <v>24</v>
      </c>
      <c r="C4" s="46"/>
      <c r="D4" s="46"/>
      <c r="E4" s="46"/>
      <c r="F4" s="46"/>
      <c r="G4" s="46">
        <v>1</v>
      </c>
    </row>
    <row r="5" spans="1:8" ht="32" thickBot="1" x14ac:dyDescent="0.4">
      <c r="B5" s="18" t="s">
        <v>25</v>
      </c>
      <c r="C5" s="47"/>
      <c r="D5" s="47"/>
      <c r="E5" s="47"/>
      <c r="F5" s="47"/>
      <c r="G5" s="47">
        <v>68</v>
      </c>
    </row>
    <row r="6" spans="1:8" ht="31" x14ac:dyDescent="0.35">
      <c r="B6" s="16" t="s">
        <v>50</v>
      </c>
      <c r="C6" s="45"/>
      <c r="D6" s="45"/>
      <c r="E6" s="45"/>
      <c r="F6" s="45"/>
      <c r="G6" s="45">
        <v>462</v>
      </c>
    </row>
    <row r="7" spans="1:8" ht="31" x14ac:dyDescent="0.35">
      <c r="B7" s="17" t="s">
        <v>19</v>
      </c>
      <c r="C7" s="48"/>
      <c r="D7" s="48"/>
      <c r="E7" s="48"/>
      <c r="F7" s="48"/>
      <c r="G7" s="48">
        <v>458</v>
      </c>
    </row>
    <row r="8" spans="1:8" ht="32" thickBot="1" x14ac:dyDescent="0.4">
      <c r="B8" s="17" t="s">
        <v>64</v>
      </c>
      <c r="C8" s="49"/>
      <c r="D8" s="49"/>
      <c r="E8" s="49"/>
      <c r="F8" s="49"/>
      <c r="G8" s="49">
        <v>4</v>
      </c>
    </row>
    <row r="9" spans="1:8" ht="31" x14ac:dyDescent="0.35">
      <c r="B9" s="16" t="s">
        <v>22</v>
      </c>
      <c r="C9" s="45"/>
      <c r="D9" s="45"/>
      <c r="E9" s="45"/>
      <c r="F9" s="45"/>
      <c r="G9" s="45">
        <v>9</v>
      </c>
    </row>
    <row r="10" spans="1:8" ht="31" x14ac:dyDescent="0.35">
      <c r="B10" s="17" t="s">
        <v>26</v>
      </c>
      <c r="C10" s="46"/>
      <c r="D10" s="46"/>
      <c r="E10" s="46"/>
      <c r="F10" s="46"/>
      <c r="G10" s="46">
        <v>4</v>
      </c>
    </row>
    <row r="11" spans="1:8" ht="32" thickBot="1" x14ac:dyDescent="0.4">
      <c r="B11" s="19" t="s">
        <v>27</v>
      </c>
      <c r="C11" s="50"/>
      <c r="D11" s="50"/>
      <c r="E11" s="50"/>
      <c r="F11" s="50"/>
      <c r="G11" s="50">
        <v>5</v>
      </c>
    </row>
    <row r="12" spans="1:8" ht="32" thickBot="1" x14ac:dyDescent="0.4">
      <c r="B12" s="104" t="s">
        <v>21</v>
      </c>
      <c r="C12" s="105"/>
      <c r="D12" s="105"/>
      <c r="E12" s="105"/>
      <c r="F12" s="105"/>
      <c r="G12" s="105">
        <v>453</v>
      </c>
    </row>
    <row r="13" spans="1:8" ht="31" x14ac:dyDescent="0.35">
      <c r="B13" s="106" t="s">
        <v>31</v>
      </c>
      <c r="C13" s="107"/>
      <c r="D13" s="107"/>
      <c r="E13" s="107"/>
      <c r="F13" s="107"/>
      <c r="G13" s="108">
        <v>437</v>
      </c>
    </row>
    <row r="14" spans="1:8" ht="31" x14ac:dyDescent="0.35">
      <c r="B14" s="17" t="s">
        <v>32</v>
      </c>
      <c r="C14" s="46"/>
      <c r="D14" s="46"/>
      <c r="E14" s="46"/>
      <c r="F14" s="46"/>
      <c r="G14" s="109">
        <v>16</v>
      </c>
    </row>
    <row r="15" spans="1:8" ht="32" thickBot="1" x14ac:dyDescent="0.4">
      <c r="B15" s="19" t="s">
        <v>65</v>
      </c>
      <c r="C15" s="50"/>
      <c r="D15" s="50"/>
      <c r="E15" s="50"/>
      <c r="F15" s="50"/>
      <c r="G15" s="110"/>
    </row>
    <row r="16" spans="1:8" ht="31" x14ac:dyDescent="0.35">
      <c r="B16" s="111" t="s">
        <v>66</v>
      </c>
      <c r="C16" s="102"/>
      <c r="D16" s="102"/>
      <c r="E16" s="102"/>
      <c r="F16" s="102"/>
      <c r="G16" s="103">
        <v>412</v>
      </c>
    </row>
    <row r="17" spans="2:7" ht="31" x14ac:dyDescent="0.35">
      <c r="B17" s="112" t="s">
        <v>67</v>
      </c>
      <c r="C17" s="98"/>
      <c r="D17" s="98"/>
      <c r="E17" s="98"/>
      <c r="F17" s="98"/>
      <c r="G17" s="99">
        <v>41</v>
      </c>
    </row>
    <row r="18" spans="2:7" ht="31" x14ac:dyDescent="0.35">
      <c r="B18" s="113" t="s">
        <v>68</v>
      </c>
      <c r="C18" s="98"/>
      <c r="D18" s="98"/>
      <c r="E18" s="98"/>
      <c r="F18" s="98"/>
      <c r="G18" s="99"/>
    </row>
    <row r="19" spans="2:7" ht="32" thickBot="1" x14ac:dyDescent="0.4">
      <c r="B19" s="114" t="s">
        <v>69</v>
      </c>
      <c r="C19" s="100"/>
      <c r="D19" s="100"/>
      <c r="E19" s="100"/>
      <c r="F19" s="100"/>
      <c r="G19" s="101"/>
    </row>
    <row r="20" spans="2:7" ht="31" x14ac:dyDescent="0.35">
      <c r="B20" s="52" t="s">
        <v>33</v>
      </c>
      <c r="C20" s="53"/>
      <c r="D20" s="53"/>
      <c r="E20" s="53"/>
      <c r="F20" s="53"/>
      <c r="G20" s="53">
        <v>6</v>
      </c>
    </row>
    <row r="21" spans="2:7" ht="31" x14ac:dyDescent="0.35">
      <c r="B21" s="17" t="s">
        <v>70</v>
      </c>
      <c r="C21" s="46"/>
      <c r="D21" s="46"/>
      <c r="E21" s="46"/>
      <c r="F21" s="46"/>
      <c r="G21" s="46">
        <v>4</v>
      </c>
    </row>
    <row r="22" spans="2:7" ht="32" thickBot="1" x14ac:dyDescent="0.4">
      <c r="B22" s="19" t="s">
        <v>71</v>
      </c>
      <c r="C22" s="50"/>
      <c r="D22" s="50"/>
      <c r="E22" s="50"/>
      <c r="F22" s="50"/>
      <c r="G22" s="50">
        <v>2</v>
      </c>
    </row>
    <row r="23" spans="2:7" ht="31" x14ac:dyDescent="0.35">
      <c r="B23" s="54" t="s">
        <v>30</v>
      </c>
      <c r="C23" s="55"/>
      <c r="D23" s="55"/>
      <c r="E23" s="55"/>
      <c r="F23" s="55"/>
      <c r="G23" s="55">
        <v>1</v>
      </c>
    </row>
  </sheetData>
  <hyperlinks>
    <hyperlink ref="A1" location="Navigation!A1" display="Home" xr:uid="{00000000-0004-0000-0B00-000000000000}"/>
    <hyperlink ref="H1" location="Recommendations!A1" display="Recommendations" xr:uid="{00000000-0004-0000-0B00-000001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3"/>
  <sheetViews>
    <sheetView topLeftCell="A13" zoomScale="80" zoomScaleNormal="80" workbookViewId="0">
      <selection activeCell="G23" sqref="G23"/>
    </sheetView>
  </sheetViews>
  <sheetFormatPr baseColWidth="10" defaultColWidth="11" defaultRowHeight="16" x14ac:dyDescent="0.2"/>
  <cols>
    <col min="2" max="2" width="49.5" customWidth="1"/>
    <col min="3" max="7" width="27.83203125" customWidth="1"/>
    <col min="8" max="8" width="25" customWidth="1"/>
  </cols>
  <sheetData>
    <row r="1" spans="1:8" ht="27" thickBot="1" x14ac:dyDescent="0.3">
      <c r="A1" s="82" t="s">
        <v>57</v>
      </c>
      <c r="B1" s="20" t="s">
        <v>17</v>
      </c>
      <c r="C1" s="13" t="s">
        <v>34</v>
      </c>
      <c r="D1" s="13" t="s">
        <v>35</v>
      </c>
      <c r="E1" s="13" t="s">
        <v>36</v>
      </c>
      <c r="F1" s="13" t="s">
        <v>37</v>
      </c>
      <c r="G1" s="13" t="s">
        <v>38</v>
      </c>
      <c r="H1" s="147" t="s">
        <v>82</v>
      </c>
    </row>
    <row r="2" spans="1:8" ht="31" x14ac:dyDescent="0.35">
      <c r="B2" s="16" t="s">
        <v>18</v>
      </c>
      <c r="C2" s="45"/>
      <c r="D2" s="45"/>
      <c r="E2" s="45"/>
      <c r="F2" s="45"/>
      <c r="G2" s="45">
        <v>499</v>
      </c>
    </row>
    <row r="3" spans="1:8" ht="31" x14ac:dyDescent="0.35">
      <c r="B3" s="17" t="s">
        <v>23</v>
      </c>
      <c r="C3" s="46"/>
      <c r="D3" s="46"/>
      <c r="E3" s="46"/>
      <c r="F3" s="46"/>
      <c r="G3" s="46">
        <v>418</v>
      </c>
    </row>
    <row r="4" spans="1:8" ht="31" x14ac:dyDescent="0.35">
      <c r="B4" s="17" t="s">
        <v>24</v>
      </c>
      <c r="C4" s="46"/>
      <c r="D4" s="46"/>
      <c r="E4" s="46"/>
      <c r="F4" s="46"/>
      <c r="G4" s="46">
        <v>8</v>
      </c>
    </row>
    <row r="5" spans="1:8" ht="32" thickBot="1" x14ac:dyDescent="0.4">
      <c r="B5" s="18" t="s">
        <v>25</v>
      </c>
      <c r="C5" s="47"/>
      <c r="D5" s="47"/>
      <c r="E5" s="47"/>
      <c r="F5" s="47"/>
      <c r="G5" s="47">
        <v>73</v>
      </c>
    </row>
    <row r="6" spans="1:8" ht="31" x14ac:dyDescent="0.35">
      <c r="B6" s="16" t="s">
        <v>50</v>
      </c>
      <c r="C6" s="45"/>
      <c r="D6" s="45"/>
      <c r="E6" s="45"/>
      <c r="F6" s="45"/>
      <c r="G6" s="45">
        <v>514</v>
      </c>
    </row>
    <row r="7" spans="1:8" ht="31" x14ac:dyDescent="0.35">
      <c r="B7" s="17" t="s">
        <v>19</v>
      </c>
      <c r="C7" s="48"/>
      <c r="D7" s="48"/>
      <c r="E7" s="48"/>
      <c r="F7" s="48"/>
      <c r="G7" s="48">
        <v>484</v>
      </c>
    </row>
    <row r="8" spans="1:8" ht="32" thickBot="1" x14ac:dyDescent="0.4">
      <c r="B8" s="17" t="s">
        <v>64</v>
      </c>
      <c r="C8" s="49"/>
      <c r="D8" s="49"/>
      <c r="E8" s="49"/>
      <c r="F8" s="49"/>
      <c r="G8" s="49">
        <v>30</v>
      </c>
    </row>
    <row r="9" spans="1:8" ht="31" x14ac:dyDescent="0.35">
      <c r="B9" s="16" t="s">
        <v>22</v>
      </c>
      <c r="C9" s="45"/>
      <c r="D9" s="45"/>
      <c r="E9" s="45"/>
      <c r="F9" s="45"/>
      <c r="G9" s="45">
        <v>9</v>
      </c>
    </row>
    <row r="10" spans="1:8" ht="31" x14ac:dyDescent="0.35">
      <c r="B10" s="17" t="s">
        <v>26</v>
      </c>
      <c r="C10" s="46"/>
      <c r="D10" s="46"/>
      <c r="E10" s="46"/>
      <c r="F10" s="46"/>
      <c r="G10" s="46">
        <v>5</v>
      </c>
    </row>
    <row r="11" spans="1:8" ht="32" thickBot="1" x14ac:dyDescent="0.4">
      <c r="B11" s="19" t="s">
        <v>27</v>
      </c>
      <c r="C11" s="50"/>
      <c r="D11" s="50"/>
      <c r="E11" s="50"/>
      <c r="F11" s="50"/>
      <c r="G11" s="50">
        <v>4</v>
      </c>
    </row>
    <row r="12" spans="1:8" ht="32" thickBot="1" x14ac:dyDescent="0.4">
      <c r="B12" s="104" t="s">
        <v>21</v>
      </c>
      <c r="C12" s="105"/>
      <c r="D12" s="105"/>
      <c r="E12" s="105"/>
      <c r="F12" s="105"/>
      <c r="G12" s="105">
        <v>505</v>
      </c>
    </row>
    <row r="13" spans="1:8" ht="31" x14ac:dyDescent="0.35">
      <c r="B13" s="106" t="s">
        <v>31</v>
      </c>
      <c r="C13" s="107"/>
      <c r="D13" s="107"/>
      <c r="E13" s="107"/>
      <c r="F13" s="107"/>
      <c r="G13" s="108">
        <v>493</v>
      </c>
    </row>
    <row r="14" spans="1:8" ht="31" x14ac:dyDescent="0.35">
      <c r="B14" s="17" t="s">
        <v>32</v>
      </c>
      <c r="C14" s="46"/>
      <c r="D14" s="46"/>
      <c r="E14" s="46"/>
      <c r="F14" s="46"/>
      <c r="G14" s="109">
        <v>12</v>
      </c>
    </row>
    <row r="15" spans="1:8" ht="32" thickBot="1" x14ac:dyDescent="0.4">
      <c r="B15" s="19" t="s">
        <v>65</v>
      </c>
      <c r="C15" s="50"/>
      <c r="D15" s="50"/>
      <c r="E15" s="50"/>
      <c r="F15" s="50"/>
      <c r="G15" s="110"/>
    </row>
    <row r="16" spans="1:8" ht="31" x14ac:dyDescent="0.35">
      <c r="B16" s="111" t="s">
        <v>66</v>
      </c>
      <c r="C16" s="102"/>
      <c r="D16" s="102"/>
      <c r="E16" s="102"/>
      <c r="F16" s="102"/>
      <c r="G16" s="103">
        <v>426</v>
      </c>
    </row>
    <row r="17" spans="2:7" ht="31" x14ac:dyDescent="0.35">
      <c r="B17" s="112" t="s">
        <v>67</v>
      </c>
      <c r="C17" s="98"/>
      <c r="D17" s="98"/>
      <c r="E17" s="98"/>
      <c r="F17" s="98"/>
      <c r="G17" s="99">
        <v>79</v>
      </c>
    </row>
    <row r="18" spans="2:7" ht="31" x14ac:dyDescent="0.35">
      <c r="B18" s="113" t="s">
        <v>68</v>
      </c>
      <c r="C18" s="98"/>
      <c r="D18" s="98"/>
      <c r="E18" s="98"/>
      <c r="F18" s="98"/>
      <c r="G18" s="99"/>
    </row>
    <row r="19" spans="2:7" ht="32" thickBot="1" x14ac:dyDescent="0.4">
      <c r="B19" s="114" t="s">
        <v>69</v>
      </c>
      <c r="C19" s="100"/>
      <c r="D19" s="100"/>
      <c r="E19" s="100"/>
      <c r="F19" s="100"/>
      <c r="G19" s="101"/>
    </row>
    <row r="20" spans="2:7" ht="31" x14ac:dyDescent="0.35">
      <c r="B20" s="52" t="s">
        <v>33</v>
      </c>
      <c r="C20" s="53"/>
      <c r="D20" s="53"/>
      <c r="E20" s="53"/>
      <c r="F20" s="53"/>
      <c r="G20" s="53">
        <v>7</v>
      </c>
    </row>
    <row r="21" spans="2:7" ht="31" x14ac:dyDescent="0.35">
      <c r="B21" s="17" t="s">
        <v>70</v>
      </c>
      <c r="C21" s="46"/>
      <c r="D21" s="46"/>
      <c r="E21" s="46"/>
      <c r="F21" s="46"/>
      <c r="G21" s="46">
        <v>5</v>
      </c>
    </row>
    <row r="22" spans="2:7" ht="32" thickBot="1" x14ac:dyDescent="0.4">
      <c r="B22" s="19" t="s">
        <v>71</v>
      </c>
      <c r="C22" s="50"/>
      <c r="D22" s="50"/>
      <c r="E22" s="50"/>
      <c r="F22" s="50"/>
      <c r="G22" s="50">
        <v>2</v>
      </c>
    </row>
    <row r="23" spans="2:7" ht="31" x14ac:dyDescent="0.35">
      <c r="B23" s="54" t="s">
        <v>30</v>
      </c>
      <c r="C23" s="55"/>
      <c r="D23" s="55"/>
      <c r="E23" s="55"/>
      <c r="F23" s="55"/>
      <c r="G23" s="55">
        <v>1</v>
      </c>
    </row>
  </sheetData>
  <hyperlinks>
    <hyperlink ref="A1" location="Navigation!A1" display="Home" xr:uid="{00000000-0004-0000-0C00-000000000000}"/>
    <hyperlink ref="H1" location="Recommendations!A1" display="Recommendations" xr:uid="{00000000-0004-0000-0C00-000001000000}"/>
  </hyperlinks>
  <pageMargins left="0.7" right="0.7" top="0.75" bottom="0.75" header="0.3" footer="0.3"/>
  <pageSetup scale="50" orientation="landscape"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3"/>
  <sheetViews>
    <sheetView topLeftCell="A10" zoomScale="80" zoomScaleNormal="80" workbookViewId="0">
      <selection activeCell="G22" sqref="G22"/>
    </sheetView>
  </sheetViews>
  <sheetFormatPr baseColWidth="10" defaultColWidth="11" defaultRowHeight="16" x14ac:dyDescent="0.2"/>
  <cols>
    <col min="2" max="2" width="49.5" customWidth="1"/>
    <col min="3" max="7" width="27.83203125" customWidth="1"/>
    <col min="8" max="8" width="25" customWidth="1"/>
  </cols>
  <sheetData>
    <row r="1" spans="1:8" ht="27" thickBot="1" x14ac:dyDescent="0.3">
      <c r="A1" s="82" t="s">
        <v>57</v>
      </c>
      <c r="B1" s="20" t="s">
        <v>17</v>
      </c>
      <c r="C1" s="13" t="s">
        <v>34</v>
      </c>
      <c r="D1" s="13" t="s">
        <v>35</v>
      </c>
      <c r="E1" s="13" t="s">
        <v>36</v>
      </c>
      <c r="F1" s="13" t="s">
        <v>37</v>
      </c>
      <c r="G1" s="13" t="s">
        <v>38</v>
      </c>
      <c r="H1" s="147" t="s">
        <v>82</v>
      </c>
    </row>
    <row r="2" spans="1:8" ht="31" x14ac:dyDescent="0.35">
      <c r="B2" s="16" t="s">
        <v>18</v>
      </c>
      <c r="C2" s="45"/>
      <c r="D2" s="45"/>
      <c r="E2" s="45"/>
      <c r="F2" s="45"/>
      <c r="G2" s="45">
        <v>509</v>
      </c>
    </row>
    <row r="3" spans="1:8" ht="31" x14ac:dyDescent="0.35">
      <c r="B3" s="17" t="s">
        <v>23</v>
      </c>
      <c r="C3" s="46"/>
      <c r="D3" s="46"/>
      <c r="E3" s="46"/>
      <c r="F3" s="46"/>
      <c r="G3" s="46">
        <v>433</v>
      </c>
    </row>
    <row r="4" spans="1:8" ht="31" x14ac:dyDescent="0.35">
      <c r="B4" s="17" t="s">
        <v>24</v>
      </c>
      <c r="C4" s="46"/>
      <c r="D4" s="46"/>
      <c r="E4" s="46"/>
      <c r="F4" s="46"/>
      <c r="G4" s="46">
        <v>2</v>
      </c>
    </row>
    <row r="5" spans="1:8" ht="32" thickBot="1" x14ac:dyDescent="0.4">
      <c r="B5" s="18" t="s">
        <v>25</v>
      </c>
      <c r="C5" s="47"/>
      <c r="D5" s="47"/>
      <c r="E5" s="47"/>
      <c r="F5" s="47"/>
      <c r="G5" s="47">
        <v>74</v>
      </c>
    </row>
    <row r="6" spans="1:8" ht="31" x14ac:dyDescent="0.35">
      <c r="B6" s="16" t="s">
        <v>50</v>
      </c>
      <c r="C6" s="45"/>
      <c r="D6" s="45"/>
      <c r="E6" s="45"/>
      <c r="F6" s="45"/>
      <c r="G6" s="45">
        <v>512</v>
      </c>
    </row>
    <row r="7" spans="1:8" ht="31" x14ac:dyDescent="0.35">
      <c r="B7" s="17" t="s">
        <v>19</v>
      </c>
      <c r="C7" s="48"/>
      <c r="D7" s="48"/>
      <c r="E7" s="48"/>
      <c r="F7" s="48"/>
      <c r="G7" s="48">
        <v>506</v>
      </c>
    </row>
    <row r="8" spans="1:8" ht="32" thickBot="1" x14ac:dyDescent="0.4">
      <c r="B8" s="17" t="s">
        <v>64</v>
      </c>
      <c r="C8" s="49"/>
      <c r="D8" s="49"/>
      <c r="E8" s="49"/>
      <c r="F8" s="49"/>
      <c r="G8" s="49">
        <v>6</v>
      </c>
    </row>
    <row r="9" spans="1:8" ht="31" x14ac:dyDescent="0.35">
      <c r="B9" s="16" t="s">
        <v>22</v>
      </c>
      <c r="C9" s="45"/>
      <c r="D9" s="45"/>
      <c r="E9" s="45"/>
      <c r="F9" s="45"/>
      <c r="G9" s="45">
        <v>12</v>
      </c>
    </row>
    <row r="10" spans="1:8" ht="31" x14ac:dyDescent="0.35">
      <c r="B10" s="17" t="s">
        <v>26</v>
      </c>
      <c r="C10" s="46"/>
      <c r="D10" s="46"/>
      <c r="E10" s="46"/>
      <c r="F10" s="46"/>
      <c r="G10" s="46">
        <v>5</v>
      </c>
    </row>
    <row r="11" spans="1:8" ht="32" thickBot="1" x14ac:dyDescent="0.4">
      <c r="B11" s="19" t="s">
        <v>27</v>
      </c>
      <c r="C11" s="50"/>
      <c r="D11" s="50"/>
      <c r="E11" s="50"/>
      <c r="F11" s="50"/>
      <c r="G11" s="50">
        <v>7</v>
      </c>
    </row>
    <row r="12" spans="1:8" ht="32" thickBot="1" x14ac:dyDescent="0.4">
      <c r="B12" s="104" t="s">
        <v>21</v>
      </c>
      <c r="C12" s="105"/>
      <c r="D12" s="105"/>
      <c r="E12" s="105"/>
      <c r="F12" s="105"/>
      <c r="G12" s="105">
        <v>500</v>
      </c>
    </row>
    <row r="13" spans="1:8" ht="31" x14ac:dyDescent="0.35">
      <c r="B13" s="106" t="s">
        <v>31</v>
      </c>
      <c r="C13" s="107"/>
      <c r="D13" s="107"/>
      <c r="E13" s="107"/>
      <c r="F13" s="107"/>
      <c r="G13" s="108">
        <v>482</v>
      </c>
    </row>
    <row r="14" spans="1:8" ht="31" x14ac:dyDescent="0.35">
      <c r="B14" s="17" t="s">
        <v>32</v>
      </c>
      <c r="C14" s="46"/>
      <c r="D14" s="46"/>
      <c r="E14" s="46"/>
      <c r="F14" s="46"/>
      <c r="G14" s="109">
        <v>18</v>
      </c>
    </row>
    <row r="15" spans="1:8" ht="32" thickBot="1" x14ac:dyDescent="0.4">
      <c r="B15" s="19" t="s">
        <v>65</v>
      </c>
      <c r="C15" s="50"/>
      <c r="D15" s="50"/>
      <c r="E15" s="50"/>
      <c r="F15" s="50"/>
      <c r="G15" s="110"/>
    </row>
    <row r="16" spans="1:8" ht="31" x14ac:dyDescent="0.35">
      <c r="B16" s="111" t="s">
        <v>66</v>
      </c>
      <c r="C16" s="102"/>
      <c r="D16" s="102"/>
      <c r="E16" s="102"/>
      <c r="F16" s="102"/>
      <c r="G16" s="103">
        <v>440</v>
      </c>
    </row>
    <row r="17" spans="2:7" ht="31" x14ac:dyDescent="0.35">
      <c r="B17" s="112" t="s">
        <v>67</v>
      </c>
      <c r="C17" s="98"/>
      <c r="D17" s="98"/>
      <c r="E17" s="98"/>
      <c r="F17" s="98"/>
      <c r="G17" s="99">
        <v>60</v>
      </c>
    </row>
    <row r="18" spans="2:7" ht="31" x14ac:dyDescent="0.35">
      <c r="B18" s="113" t="s">
        <v>68</v>
      </c>
      <c r="C18" s="98"/>
      <c r="D18" s="98"/>
      <c r="E18" s="98"/>
      <c r="F18" s="98"/>
      <c r="G18" s="99"/>
    </row>
    <row r="19" spans="2:7" ht="32" thickBot="1" x14ac:dyDescent="0.4">
      <c r="B19" s="114" t="s">
        <v>69</v>
      </c>
      <c r="C19" s="100"/>
      <c r="D19" s="100"/>
      <c r="E19" s="100"/>
      <c r="F19" s="100"/>
      <c r="G19" s="101"/>
    </row>
    <row r="20" spans="2:7" ht="31" x14ac:dyDescent="0.35">
      <c r="B20" s="52" t="s">
        <v>33</v>
      </c>
      <c r="C20" s="53"/>
      <c r="D20" s="53"/>
      <c r="E20" s="53"/>
      <c r="F20" s="53"/>
      <c r="G20" s="53">
        <v>5</v>
      </c>
    </row>
    <row r="21" spans="2:7" ht="31" x14ac:dyDescent="0.35">
      <c r="B21" s="17" t="s">
        <v>70</v>
      </c>
      <c r="C21" s="46"/>
      <c r="D21" s="46"/>
      <c r="E21" s="46"/>
      <c r="F21" s="46"/>
      <c r="G21" s="46">
        <v>4</v>
      </c>
    </row>
    <row r="22" spans="2:7" ht="32" thickBot="1" x14ac:dyDescent="0.4">
      <c r="B22" s="19" t="s">
        <v>71</v>
      </c>
      <c r="C22" s="50"/>
      <c r="D22" s="50"/>
      <c r="E22" s="50"/>
      <c r="F22" s="50"/>
      <c r="G22" s="50">
        <v>1</v>
      </c>
    </row>
    <row r="23" spans="2:7" ht="31" x14ac:dyDescent="0.35">
      <c r="B23" s="54" t="s">
        <v>30</v>
      </c>
      <c r="C23" s="55"/>
      <c r="D23" s="55"/>
      <c r="E23" s="55"/>
      <c r="F23" s="55"/>
      <c r="G23" s="55">
        <v>0</v>
      </c>
    </row>
  </sheetData>
  <hyperlinks>
    <hyperlink ref="A1" location="Navigation!A1" display="Home" xr:uid="{00000000-0004-0000-0D00-000000000000}"/>
    <hyperlink ref="H1" location="Recommendations!A1" display="Recommendations" xr:uid="{00000000-0004-0000-0D00-000001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3"/>
  <sheetViews>
    <sheetView zoomScale="80" zoomScaleNormal="80" workbookViewId="0">
      <selection activeCell="B2" sqref="B2:G23"/>
    </sheetView>
  </sheetViews>
  <sheetFormatPr baseColWidth="10" defaultColWidth="11" defaultRowHeight="16" x14ac:dyDescent="0.2"/>
  <cols>
    <col min="2" max="2" width="49.5" customWidth="1"/>
    <col min="3" max="7" width="27.83203125" customWidth="1"/>
    <col min="8" max="8" width="25" customWidth="1"/>
  </cols>
  <sheetData>
    <row r="1" spans="1:8" ht="27" thickBot="1" x14ac:dyDescent="0.3">
      <c r="A1" s="82" t="s">
        <v>57</v>
      </c>
      <c r="B1" s="20" t="s">
        <v>17</v>
      </c>
      <c r="C1" s="13" t="s">
        <v>34</v>
      </c>
      <c r="D1" s="13" t="s">
        <v>35</v>
      </c>
      <c r="E1" s="13" t="s">
        <v>36</v>
      </c>
      <c r="F1" s="13" t="s">
        <v>37</v>
      </c>
      <c r="G1" s="13" t="s">
        <v>38</v>
      </c>
      <c r="H1" s="147" t="s">
        <v>82</v>
      </c>
    </row>
    <row r="2" spans="1:8" ht="31" x14ac:dyDescent="0.35">
      <c r="B2" s="16" t="s">
        <v>18</v>
      </c>
      <c r="C2" s="45"/>
      <c r="D2" s="45"/>
      <c r="E2" s="45"/>
      <c r="F2" s="45"/>
      <c r="G2" s="45">
        <v>540</v>
      </c>
    </row>
    <row r="3" spans="1:8" ht="31" x14ac:dyDescent="0.35">
      <c r="B3" s="17" t="s">
        <v>23</v>
      </c>
      <c r="C3" s="46"/>
      <c r="D3" s="46"/>
      <c r="E3" s="46"/>
      <c r="F3" s="46"/>
      <c r="G3" s="46">
        <v>447</v>
      </c>
    </row>
    <row r="4" spans="1:8" ht="31" x14ac:dyDescent="0.35">
      <c r="B4" s="17" t="s">
        <v>24</v>
      </c>
      <c r="C4" s="46"/>
      <c r="D4" s="46"/>
      <c r="E4" s="46"/>
      <c r="F4" s="46"/>
      <c r="G4" s="46">
        <v>13</v>
      </c>
    </row>
    <row r="5" spans="1:8" ht="32" thickBot="1" x14ac:dyDescent="0.4">
      <c r="B5" s="18" t="s">
        <v>25</v>
      </c>
      <c r="C5" s="47"/>
      <c r="D5" s="47"/>
      <c r="E5" s="47"/>
      <c r="F5" s="47"/>
      <c r="G5" s="47">
        <v>80</v>
      </c>
    </row>
    <row r="6" spans="1:8" ht="31" x14ac:dyDescent="0.35">
      <c r="B6" s="16" t="s">
        <v>50</v>
      </c>
      <c r="C6" s="45"/>
      <c r="D6" s="45"/>
      <c r="E6" s="45"/>
      <c r="F6" s="45"/>
      <c r="G6" s="45">
        <v>546</v>
      </c>
    </row>
    <row r="7" spans="1:8" ht="31" x14ac:dyDescent="0.35">
      <c r="B7" s="17" t="s">
        <v>19</v>
      </c>
      <c r="C7" s="48"/>
      <c r="D7" s="48"/>
      <c r="E7" s="48"/>
      <c r="F7" s="48"/>
      <c r="G7" s="48">
        <v>540</v>
      </c>
    </row>
    <row r="8" spans="1:8" ht="32" thickBot="1" x14ac:dyDescent="0.4">
      <c r="B8" s="17" t="s">
        <v>64</v>
      </c>
      <c r="C8" s="49"/>
      <c r="D8" s="49"/>
      <c r="E8" s="49"/>
      <c r="F8" s="49"/>
      <c r="G8" s="49">
        <v>6</v>
      </c>
    </row>
    <row r="9" spans="1:8" ht="31" x14ac:dyDescent="0.35">
      <c r="B9" s="16" t="s">
        <v>22</v>
      </c>
      <c r="C9" s="45"/>
      <c r="D9" s="45"/>
      <c r="E9" s="45"/>
      <c r="F9" s="45"/>
      <c r="G9" s="45">
        <v>13</v>
      </c>
    </row>
    <row r="10" spans="1:8" ht="31" x14ac:dyDescent="0.35">
      <c r="B10" s="17" t="s">
        <v>26</v>
      </c>
      <c r="C10" s="46"/>
      <c r="D10" s="46"/>
      <c r="E10" s="46"/>
      <c r="F10" s="46"/>
      <c r="G10" s="46">
        <v>9</v>
      </c>
    </row>
    <row r="11" spans="1:8" ht="32" thickBot="1" x14ac:dyDescent="0.4">
      <c r="B11" s="19" t="s">
        <v>27</v>
      </c>
      <c r="C11" s="50"/>
      <c r="D11" s="50"/>
      <c r="E11" s="50"/>
      <c r="F11" s="50"/>
      <c r="G11" s="50">
        <v>4</v>
      </c>
    </row>
    <row r="12" spans="1:8" ht="32" thickBot="1" x14ac:dyDescent="0.4">
      <c r="B12" s="104" t="s">
        <v>21</v>
      </c>
      <c r="C12" s="105"/>
      <c r="D12" s="105"/>
      <c r="E12" s="105"/>
      <c r="F12" s="105"/>
      <c r="G12" s="105">
        <v>533</v>
      </c>
    </row>
    <row r="13" spans="1:8" ht="31" x14ac:dyDescent="0.35">
      <c r="B13" s="106" t="s">
        <v>31</v>
      </c>
      <c r="C13" s="107"/>
      <c r="D13" s="107"/>
      <c r="E13" s="107"/>
      <c r="F13" s="107"/>
      <c r="G13" s="108">
        <v>517</v>
      </c>
    </row>
    <row r="14" spans="1:8" ht="31" x14ac:dyDescent="0.35">
      <c r="B14" s="17" t="s">
        <v>32</v>
      </c>
      <c r="C14" s="46"/>
      <c r="D14" s="46"/>
      <c r="E14" s="46"/>
      <c r="F14" s="46"/>
      <c r="G14" s="109">
        <v>16</v>
      </c>
    </row>
    <row r="15" spans="1:8" ht="32" thickBot="1" x14ac:dyDescent="0.4">
      <c r="B15" s="19" t="s">
        <v>65</v>
      </c>
      <c r="C15" s="50"/>
      <c r="D15" s="50"/>
      <c r="E15" s="50"/>
      <c r="F15" s="50"/>
      <c r="G15" s="110"/>
    </row>
    <row r="16" spans="1:8" ht="31" x14ac:dyDescent="0.35">
      <c r="B16" s="111" t="s">
        <v>66</v>
      </c>
      <c r="C16" s="102"/>
      <c r="D16" s="102"/>
      <c r="E16" s="102"/>
      <c r="F16" s="102"/>
      <c r="G16" s="103">
        <v>489</v>
      </c>
    </row>
    <row r="17" spans="2:7" ht="31" x14ac:dyDescent="0.35">
      <c r="B17" s="112" t="s">
        <v>67</v>
      </c>
      <c r="C17" s="98"/>
      <c r="D17" s="98"/>
      <c r="E17" s="98"/>
      <c r="F17" s="98"/>
      <c r="G17" s="99">
        <v>44</v>
      </c>
    </row>
    <row r="18" spans="2:7" ht="31" x14ac:dyDescent="0.35">
      <c r="B18" s="113" t="s">
        <v>68</v>
      </c>
      <c r="C18" s="98"/>
      <c r="D18" s="98"/>
      <c r="E18" s="98"/>
      <c r="F18" s="98"/>
      <c r="G18" s="99"/>
    </row>
    <row r="19" spans="2:7" ht="32" thickBot="1" x14ac:dyDescent="0.4">
      <c r="B19" s="114" t="s">
        <v>69</v>
      </c>
      <c r="C19" s="100"/>
      <c r="D19" s="100"/>
      <c r="E19" s="100"/>
      <c r="F19" s="100"/>
      <c r="G19" s="101"/>
    </row>
    <row r="20" spans="2:7" ht="31" x14ac:dyDescent="0.35">
      <c r="B20" s="52" t="s">
        <v>33</v>
      </c>
      <c r="C20" s="53"/>
      <c r="D20" s="53"/>
      <c r="E20" s="53"/>
      <c r="F20" s="53"/>
      <c r="G20" s="53">
        <v>5</v>
      </c>
    </row>
    <row r="21" spans="2:7" ht="31" x14ac:dyDescent="0.35">
      <c r="B21" s="17" t="s">
        <v>70</v>
      </c>
      <c r="C21" s="46"/>
      <c r="D21" s="46"/>
      <c r="E21" s="46"/>
      <c r="F21" s="46"/>
      <c r="G21" s="46">
        <v>5</v>
      </c>
    </row>
    <row r="22" spans="2:7" ht="32" thickBot="1" x14ac:dyDescent="0.4">
      <c r="B22" s="19" t="s">
        <v>71</v>
      </c>
      <c r="C22" s="50"/>
      <c r="D22" s="50"/>
      <c r="E22" s="50"/>
      <c r="F22" s="50"/>
      <c r="G22" s="50">
        <v>0</v>
      </c>
    </row>
    <row r="23" spans="2:7" ht="31" x14ac:dyDescent="0.35">
      <c r="B23" s="54" t="s">
        <v>30</v>
      </c>
      <c r="C23" s="55"/>
      <c r="D23" s="55"/>
      <c r="E23" s="55"/>
      <c r="F23" s="55"/>
      <c r="G23" s="55">
        <v>0</v>
      </c>
    </row>
  </sheetData>
  <hyperlinks>
    <hyperlink ref="A1" location="Navigation!A1" display="Home" xr:uid="{00000000-0004-0000-0E00-000000000000}"/>
    <hyperlink ref="H1" location="Recommendations!A1" display="Recommendations" xr:uid="{00000000-0004-0000-0E00-000001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4"/>
  <sheetViews>
    <sheetView zoomScale="60" zoomScaleNormal="60" workbookViewId="0">
      <selection activeCell="G2" sqref="G2:G23"/>
    </sheetView>
  </sheetViews>
  <sheetFormatPr baseColWidth="10" defaultColWidth="11" defaultRowHeight="16" x14ac:dyDescent="0.2"/>
  <cols>
    <col min="2" max="2" width="49.5" customWidth="1"/>
    <col min="3" max="7" width="27.83203125" customWidth="1"/>
    <col min="8" max="8" width="25" customWidth="1"/>
  </cols>
  <sheetData>
    <row r="1" spans="1:8" ht="27" thickBot="1" x14ac:dyDescent="0.3">
      <c r="A1" s="82" t="s">
        <v>57</v>
      </c>
      <c r="B1" s="20" t="s">
        <v>17</v>
      </c>
      <c r="C1" s="13" t="s">
        <v>34</v>
      </c>
      <c r="D1" s="13" t="s">
        <v>35</v>
      </c>
      <c r="E1" s="13" t="s">
        <v>36</v>
      </c>
      <c r="F1" s="13" t="s">
        <v>37</v>
      </c>
      <c r="G1" s="13" t="s">
        <v>38</v>
      </c>
      <c r="H1" s="147" t="s">
        <v>82</v>
      </c>
    </row>
    <row r="2" spans="1:8" ht="31" x14ac:dyDescent="0.35">
      <c r="B2" s="16" t="s">
        <v>18</v>
      </c>
      <c r="C2" s="45"/>
      <c r="D2" s="45"/>
      <c r="E2" s="45"/>
      <c r="F2" s="45"/>
      <c r="G2" s="45">
        <v>598</v>
      </c>
    </row>
    <row r="3" spans="1:8" ht="31" x14ac:dyDescent="0.35">
      <c r="B3" s="17" t="s">
        <v>23</v>
      </c>
      <c r="C3" s="46"/>
      <c r="D3" s="46"/>
      <c r="E3" s="46"/>
      <c r="F3" s="46"/>
      <c r="G3" s="46">
        <v>488</v>
      </c>
    </row>
    <row r="4" spans="1:8" ht="31" x14ac:dyDescent="0.35">
      <c r="B4" s="17" t="s">
        <v>24</v>
      </c>
      <c r="C4" s="46"/>
      <c r="D4" s="46"/>
      <c r="E4" s="46"/>
      <c r="F4" s="46"/>
      <c r="G4" s="46">
        <v>15</v>
      </c>
    </row>
    <row r="5" spans="1:8" ht="32" thickBot="1" x14ac:dyDescent="0.4">
      <c r="B5" s="18" t="s">
        <v>25</v>
      </c>
      <c r="C5" s="47"/>
      <c r="D5" s="47"/>
      <c r="E5" s="47"/>
      <c r="F5" s="47"/>
      <c r="G5" s="47">
        <v>95</v>
      </c>
    </row>
    <row r="6" spans="1:8" ht="31" x14ac:dyDescent="0.35">
      <c r="B6" s="16" t="s">
        <v>50</v>
      </c>
      <c r="C6" s="45"/>
      <c r="D6" s="45"/>
      <c r="E6" s="45"/>
      <c r="F6" s="45"/>
      <c r="G6" s="45">
        <v>603</v>
      </c>
    </row>
    <row r="7" spans="1:8" ht="31" x14ac:dyDescent="0.35">
      <c r="B7" s="17" t="s">
        <v>19</v>
      </c>
      <c r="C7" s="48"/>
      <c r="D7" s="48"/>
      <c r="E7" s="48"/>
      <c r="F7" s="48"/>
      <c r="G7" s="48">
        <v>593</v>
      </c>
    </row>
    <row r="8" spans="1:8" ht="32" thickBot="1" x14ac:dyDescent="0.4">
      <c r="B8" s="17" t="s">
        <v>64</v>
      </c>
      <c r="C8" s="49"/>
      <c r="D8" s="49"/>
      <c r="E8" s="49"/>
      <c r="F8" s="49"/>
      <c r="G8" s="49">
        <v>10</v>
      </c>
    </row>
    <row r="9" spans="1:8" ht="31" x14ac:dyDescent="0.35">
      <c r="B9" s="16" t="s">
        <v>22</v>
      </c>
      <c r="C9" s="45"/>
      <c r="D9" s="45"/>
      <c r="E9" s="45"/>
      <c r="F9" s="45"/>
      <c r="G9" s="45">
        <v>8</v>
      </c>
    </row>
    <row r="10" spans="1:8" ht="31" x14ac:dyDescent="0.35">
      <c r="B10" s="17" t="s">
        <v>26</v>
      </c>
      <c r="C10" s="46"/>
      <c r="D10" s="46"/>
      <c r="E10" s="46"/>
      <c r="F10" s="46"/>
      <c r="G10" s="46">
        <v>6</v>
      </c>
    </row>
    <row r="11" spans="1:8" ht="32" thickBot="1" x14ac:dyDescent="0.4">
      <c r="B11" s="19" t="s">
        <v>27</v>
      </c>
      <c r="C11" s="50"/>
      <c r="D11" s="50"/>
      <c r="E11" s="50"/>
      <c r="F11" s="50"/>
      <c r="G11" s="50">
        <v>2</v>
      </c>
    </row>
    <row r="12" spans="1:8" ht="32" thickBot="1" x14ac:dyDescent="0.4">
      <c r="B12" s="104" t="s">
        <v>21</v>
      </c>
      <c r="C12" s="105"/>
      <c r="D12" s="105"/>
      <c r="E12" s="105"/>
      <c r="F12" s="105"/>
      <c r="G12" s="105">
        <v>595</v>
      </c>
    </row>
    <row r="13" spans="1:8" ht="31" x14ac:dyDescent="0.35">
      <c r="B13" s="106" t="s">
        <v>31</v>
      </c>
      <c r="C13" s="107"/>
      <c r="D13" s="107"/>
      <c r="E13" s="107"/>
      <c r="F13" s="107"/>
      <c r="G13" s="108">
        <v>575</v>
      </c>
    </row>
    <row r="14" spans="1:8" ht="31" x14ac:dyDescent="0.35">
      <c r="B14" s="17" t="s">
        <v>32</v>
      </c>
      <c r="C14" s="46"/>
      <c r="D14" s="46"/>
      <c r="E14" s="46"/>
      <c r="F14" s="46"/>
      <c r="G14" s="109">
        <v>20</v>
      </c>
    </row>
    <row r="15" spans="1:8" ht="32" thickBot="1" x14ac:dyDescent="0.4">
      <c r="B15" s="19" t="s">
        <v>65</v>
      </c>
      <c r="C15" s="50"/>
      <c r="D15" s="50"/>
      <c r="E15" s="50"/>
      <c r="F15" s="50"/>
      <c r="G15" s="110"/>
    </row>
    <row r="16" spans="1:8" ht="31" x14ac:dyDescent="0.35">
      <c r="B16" s="111" t="s">
        <v>66</v>
      </c>
      <c r="C16" s="102"/>
      <c r="D16" s="102"/>
      <c r="E16" s="102"/>
      <c r="F16" s="102"/>
      <c r="G16" s="103">
        <v>539</v>
      </c>
    </row>
    <row r="17" spans="2:7" ht="31" x14ac:dyDescent="0.35">
      <c r="B17" s="112" t="s">
        <v>67</v>
      </c>
      <c r="C17" s="98"/>
      <c r="D17" s="98"/>
      <c r="E17" s="98"/>
      <c r="F17" s="98"/>
      <c r="G17" s="99">
        <v>56</v>
      </c>
    </row>
    <row r="18" spans="2:7" ht="31" x14ac:dyDescent="0.35">
      <c r="B18" s="113" t="s">
        <v>68</v>
      </c>
      <c r="C18" s="98"/>
      <c r="D18" s="98"/>
      <c r="E18" s="98"/>
      <c r="F18" s="98"/>
      <c r="G18" s="99"/>
    </row>
    <row r="19" spans="2:7" ht="32" thickBot="1" x14ac:dyDescent="0.4">
      <c r="B19" s="114" t="s">
        <v>69</v>
      </c>
      <c r="C19" s="100"/>
      <c r="D19" s="100"/>
      <c r="E19" s="100"/>
      <c r="F19" s="100"/>
      <c r="G19" s="101"/>
    </row>
    <row r="20" spans="2:7" ht="31" x14ac:dyDescent="0.35">
      <c r="B20" s="52" t="s">
        <v>33</v>
      </c>
      <c r="C20" s="53"/>
      <c r="D20" s="53"/>
      <c r="E20" s="53"/>
      <c r="F20" s="53"/>
      <c r="G20" s="53">
        <v>11</v>
      </c>
    </row>
    <row r="21" spans="2:7" ht="31" x14ac:dyDescent="0.35">
      <c r="B21" s="17" t="s">
        <v>70</v>
      </c>
      <c r="C21" s="46"/>
      <c r="D21" s="46"/>
      <c r="E21" s="46"/>
      <c r="F21" s="46"/>
      <c r="G21" s="46">
        <v>10</v>
      </c>
    </row>
    <row r="22" spans="2:7" ht="32" thickBot="1" x14ac:dyDescent="0.4">
      <c r="B22" s="19" t="s">
        <v>71</v>
      </c>
      <c r="C22" s="50"/>
      <c r="D22" s="50"/>
      <c r="E22" s="50"/>
      <c r="F22" s="50"/>
      <c r="G22" s="50">
        <v>1</v>
      </c>
    </row>
    <row r="23" spans="2:7" ht="31" x14ac:dyDescent="0.35">
      <c r="B23" s="54" t="s">
        <v>30</v>
      </c>
      <c r="C23" s="55"/>
      <c r="D23" s="55"/>
      <c r="E23" s="55"/>
      <c r="F23" s="55"/>
      <c r="G23" s="55">
        <v>0</v>
      </c>
    </row>
    <row r="24" spans="2:7" x14ac:dyDescent="0.2">
      <c r="G24">
        <v>0</v>
      </c>
    </row>
  </sheetData>
  <hyperlinks>
    <hyperlink ref="A1" location="Navigation!A1" display="Home" xr:uid="{00000000-0004-0000-0F00-000000000000}"/>
    <hyperlink ref="H1" location="Recommendations!A1" display="Recommendations" xr:uid="{00000000-0004-0000-0F00-000001000000}"/>
  </hyperlinks>
  <pageMargins left="0.7" right="0.7" top="0.75" bottom="0.75" header="0.3" footer="0.3"/>
  <pageSetup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80" zoomScaleNormal="80" workbookViewId="0"/>
  </sheetViews>
  <sheetFormatPr baseColWidth="10" defaultColWidth="11" defaultRowHeight="16" x14ac:dyDescent="0.2"/>
  <cols>
    <col min="2" max="2" width="49.5" customWidth="1"/>
    <col min="3" max="7" width="27.83203125" customWidth="1"/>
    <col min="8" max="8" width="25" customWidth="1"/>
  </cols>
  <sheetData>
    <row r="1" spans="1:8" ht="27" thickBot="1" x14ac:dyDescent="0.3">
      <c r="A1" s="82" t="s">
        <v>57</v>
      </c>
      <c r="B1" s="20" t="s">
        <v>17</v>
      </c>
      <c r="C1" s="13" t="s">
        <v>34</v>
      </c>
      <c r="D1" s="13" t="s">
        <v>35</v>
      </c>
      <c r="E1" s="13" t="s">
        <v>36</v>
      </c>
      <c r="F1" s="13" t="s">
        <v>37</v>
      </c>
      <c r="G1" s="13" t="s">
        <v>38</v>
      </c>
      <c r="H1" s="147" t="s">
        <v>82</v>
      </c>
    </row>
    <row r="2" spans="1:8" ht="31" x14ac:dyDescent="0.35">
      <c r="B2" s="16" t="s">
        <v>18</v>
      </c>
      <c r="C2" s="45"/>
      <c r="D2" s="45"/>
      <c r="E2" s="45"/>
      <c r="F2" s="45"/>
      <c r="G2" s="45">
        <v>571</v>
      </c>
    </row>
    <row r="3" spans="1:8" ht="31" x14ac:dyDescent="0.35">
      <c r="B3" s="17" t="s">
        <v>23</v>
      </c>
      <c r="C3" s="46"/>
      <c r="D3" s="46"/>
      <c r="E3" s="46"/>
      <c r="F3" s="46"/>
      <c r="G3" s="46">
        <v>469</v>
      </c>
    </row>
    <row r="4" spans="1:8" ht="31" x14ac:dyDescent="0.35">
      <c r="B4" s="17" t="s">
        <v>24</v>
      </c>
      <c r="C4" s="46"/>
      <c r="D4" s="46"/>
      <c r="E4" s="46"/>
      <c r="F4" s="46"/>
      <c r="G4" s="46">
        <v>6</v>
      </c>
    </row>
    <row r="5" spans="1:8" ht="32" thickBot="1" x14ac:dyDescent="0.4">
      <c r="B5" s="18" t="s">
        <v>25</v>
      </c>
      <c r="C5" s="47"/>
      <c r="D5" s="47"/>
      <c r="E5" s="47"/>
      <c r="F5" s="47"/>
      <c r="G5" s="47">
        <v>96</v>
      </c>
    </row>
    <row r="6" spans="1:8" ht="31" x14ac:dyDescent="0.35">
      <c r="B6" s="16" t="s">
        <v>50</v>
      </c>
      <c r="C6" s="45"/>
      <c r="D6" s="45"/>
      <c r="E6" s="45"/>
      <c r="F6" s="45"/>
      <c r="G6" s="45">
        <v>580</v>
      </c>
    </row>
    <row r="7" spans="1:8" ht="31" x14ac:dyDescent="0.35">
      <c r="B7" s="17" t="s">
        <v>19</v>
      </c>
      <c r="C7" s="48"/>
      <c r="D7" s="48"/>
      <c r="E7" s="48"/>
      <c r="F7" s="48"/>
      <c r="G7" s="48">
        <v>562</v>
      </c>
    </row>
    <row r="8" spans="1:8" ht="32" thickBot="1" x14ac:dyDescent="0.4">
      <c r="B8" s="17" t="s">
        <v>64</v>
      </c>
      <c r="C8" s="49"/>
      <c r="D8" s="49"/>
      <c r="E8" s="49"/>
      <c r="F8" s="49"/>
      <c r="G8" s="49">
        <v>18</v>
      </c>
    </row>
    <row r="9" spans="1:8" ht="31" x14ac:dyDescent="0.35">
      <c r="B9" s="16" t="s">
        <v>22</v>
      </c>
      <c r="C9" s="45"/>
      <c r="D9" s="45"/>
      <c r="E9" s="45"/>
      <c r="F9" s="45"/>
      <c r="G9" s="45">
        <v>15</v>
      </c>
    </row>
    <row r="10" spans="1:8" ht="31" x14ac:dyDescent="0.35">
      <c r="B10" s="17" t="s">
        <v>26</v>
      </c>
      <c r="C10" s="46"/>
      <c r="D10" s="46"/>
      <c r="E10" s="46"/>
      <c r="F10" s="46"/>
      <c r="G10" s="46">
        <v>13</v>
      </c>
    </row>
    <row r="11" spans="1:8" ht="32" thickBot="1" x14ac:dyDescent="0.4">
      <c r="B11" s="19" t="s">
        <v>27</v>
      </c>
      <c r="C11" s="50"/>
      <c r="D11" s="50"/>
      <c r="E11" s="50"/>
      <c r="F11" s="50"/>
      <c r="G11" s="50">
        <v>2</v>
      </c>
    </row>
    <row r="12" spans="1:8" ht="32" thickBot="1" x14ac:dyDescent="0.4">
      <c r="B12" s="104" t="s">
        <v>21</v>
      </c>
      <c r="C12" s="105"/>
      <c r="D12" s="105"/>
      <c r="E12" s="105"/>
      <c r="F12" s="105"/>
      <c r="G12" s="105">
        <v>565</v>
      </c>
    </row>
    <row r="13" spans="1:8" ht="31" x14ac:dyDescent="0.35">
      <c r="B13" s="106" t="s">
        <v>31</v>
      </c>
      <c r="C13" s="107"/>
      <c r="D13" s="107"/>
      <c r="E13" s="107"/>
      <c r="F13" s="107"/>
      <c r="G13" s="108">
        <v>547</v>
      </c>
    </row>
    <row r="14" spans="1:8" ht="31" x14ac:dyDescent="0.35">
      <c r="B14" s="17" t="s">
        <v>32</v>
      </c>
      <c r="C14" s="46"/>
      <c r="D14" s="46"/>
      <c r="E14" s="46"/>
      <c r="F14" s="46"/>
      <c r="G14" s="109">
        <v>18</v>
      </c>
    </row>
    <row r="15" spans="1:8" ht="32" thickBot="1" x14ac:dyDescent="0.4">
      <c r="B15" s="19" t="s">
        <v>65</v>
      </c>
      <c r="C15" s="50"/>
      <c r="D15" s="50"/>
      <c r="E15" s="50"/>
      <c r="F15" s="50"/>
      <c r="G15" s="110"/>
    </row>
    <row r="16" spans="1:8" ht="31" x14ac:dyDescent="0.35">
      <c r="B16" s="111" t="s">
        <v>66</v>
      </c>
      <c r="C16" s="102"/>
      <c r="D16" s="102"/>
      <c r="E16" s="102"/>
      <c r="F16" s="102"/>
      <c r="G16" s="103">
        <v>526</v>
      </c>
    </row>
    <row r="17" spans="2:7" ht="31" x14ac:dyDescent="0.35">
      <c r="B17" s="112" t="s">
        <v>67</v>
      </c>
      <c r="C17" s="98"/>
      <c r="D17" s="98"/>
      <c r="E17" s="98"/>
      <c r="F17" s="98"/>
      <c r="G17" s="99">
        <v>54</v>
      </c>
    </row>
    <row r="18" spans="2:7" ht="31" x14ac:dyDescent="0.35">
      <c r="B18" s="113" t="s">
        <v>68</v>
      </c>
      <c r="C18" s="98"/>
      <c r="D18" s="98"/>
      <c r="E18" s="98"/>
      <c r="F18" s="98"/>
      <c r="G18" s="99"/>
    </row>
    <row r="19" spans="2:7" ht="32" thickBot="1" x14ac:dyDescent="0.4">
      <c r="B19" s="114" t="s">
        <v>69</v>
      </c>
      <c r="C19" s="100"/>
      <c r="D19" s="100"/>
      <c r="E19" s="100"/>
      <c r="F19" s="100"/>
      <c r="G19" s="101"/>
    </row>
    <row r="20" spans="2:7" ht="31" x14ac:dyDescent="0.35">
      <c r="B20" s="52" t="s">
        <v>33</v>
      </c>
      <c r="C20" s="53"/>
      <c r="D20" s="53"/>
      <c r="E20" s="53"/>
      <c r="F20" s="53"/>
      <c r="G20" s="53">
        <v>15</v>
      </c>
    </row>
    <row r="21" spans="2:7" ht="31" x14ac:dyDescent="0.35">
      <c r="B21" s="17" t="s">
        <v>70</v>
      </c>
      <c r="C21" s="46"/>
      <c r="D21" s="46"/>
      <c r="E21" s="46"/>
      <c r="F21" s="46"/>
      <c r="G21" s="46">
        <v>13</v>
      </c>
    </row>
    <row r="22" spans="2:7" ht="32" thickBot="1" x14ac:dyDescent="0.4">
      <c r="B22" s="19" t="s">
        <v>71</v>
      </c>
      <c r="C22" s="50"/>
      <c r="D22" s="50"/>
      <c r="E22" s="50"/>
      <c r="F22" s="50"/>
      <c r="G22" s="50">
        <v>2</v>
      </c>
    </row>
    <row r="23" spans="2:7" ht="31" x14ac:dyDescent="0.35">
      <c r="B23" s="54" t="s">
        <v>30</v>
      </c>
      <c r="C23" s="55"/>
      <c r="D23" s="55"/>
      <c r="E23" s="55"/>
      <c r="F23" s="55"/>
      <c r="G23" s="55">
        <v>2</v>
      </c>
    </row>
  </sheetData>
  <hyperlinks>
    <hyperlink ref="A1" location="Navigation!A1" display="Home" xr:uid="{00000000-0004-0000-1000-000000000000}"/>
    <hyperlink ref="H1" location="Recommendations!A1" display="Recommendations" xr:uid="{00000000-0004-0000-1000-000001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23"/>
  <sheetViews>
    <sheetView zoomScale="80" zoomScaleNormal="80" workbookViewId="0">
      <selection activeCell="B21" sqref="B21"/>
    </sheetView>
  </sheetViews>
  <sheetFormatPr baseColWidth="10" defaultColWidth="11" defaultRowHeight="16" x14ac:dyDescent="0.2"/>
  <cols>
    <col min="2" max="2" width="49.5" customWidth="1"/>
    <col min="3" max="7" width="27.83203125" customWidth="1"/>
    <col min="8" max="8" width="25" customWidth="1"/>
  </cols>
  <sheetData>
    <row r="1" spans="1:8" ht="27" thickBot="1" x14ac:dyDescent="0.3">
      <c r="A1" s="82" t="s">
        <v>57</v>
      </c>
      <c r="B1" s="20" t="s">
        <v>17</v>
      </c>
      <c r="C1" s="13" t="s">
        <v>34</v>
      </c>
      <c r="D1" s="13" t="s">
        <v>35</v>
      </c>
      <c r="E1" s="13" t="s">
        <v>36</v>
      </c>
      <c r="F1" s="13" t="s">
        <v>37</v>
      </c>
      <c r="G1" s="13" t="s">
        <v>38</v>
      </c>
      <c r="H1" s="147" t="s">
        <v>82</v>
      </c>
    </row>
    <row r="2" spans="1:8" ht="31" x14ac:dyDescent="0.35">
      <c r="B2" s="16" t="s">
        <v>18</v>
      </c>
      <c r="C2" s="45"/>
      <c r="D2" s="45"/>
      <c r="E2" s="45"/>
      <c r="F2" s="45"/>
      <c r="G2" s="45"/>
    </row>
    <row r="3" spans="1:8" ht="31" x14ac:dyDescent="0.35">
      <c r="B3" s="17" t="s">
        <v>23</v>
      </c>
      <c r="C3" s="46"/>
      <c r="D3" s="46"/>
      <c r="E3" s="46"/>
      <c r="F3" s="46"/>
      <c r="G3" s="46"/>
    </row>
    <row r="4" spans="1:8" ht="31" x14ac:dyDescent="0.35">
      <c r="B4" s="17" t="s">
        <v>24</v>
      </c>
      <c r="C4" s="46"/>
      <c r="D4" s="46"/>
      <c r="E4" s="46"/>
      <c r="F4" s="46"/>
      <c r="G4" s="46"/>
    </row>
    <row r="5" spans="1:8" ht="32" thickBot="1" x14ac:dyDescent="0.4">
      <c r="B5" s="18" t="s">
        <v>25</v>
      </c>
      <c r="C5" s="47"/>
      <c r="D5" s="47"/>
      <c r="E5" s="47"/>
      <c r="F5" s="47"/>
      <c r="G5" s="47"/>
    </row>
    <row r="6" spans="1:8" ht="31" x14ac:dyDescent="0.35">
      <c r="B6" s="16" t="s">
        <v>50</v>
      </c>
      <c r="C6" s="45"/>
      <c r="D6" s="45"/>
      <c r="E6" s="45"/>
      <c r="F6" s="45"/>
      <c r="G6" s="45"/>
    </row>
    <row r="7" spans="1:8" ht="31" x14ac:dyDescent="0.35">
      <c r="B7" s="17" t="s">
        <v>19</v>
      </c>
      <c r="C7" s="48"/>
      <c r="D7" s="48"/>
      <c r="E7" s="48"/>
      <c r="F7" s="48"/>
      <c r="G7" s="48"/>
    </row>
    <row r="8" spans="1:8" ht="32" thickBot="1" x14ac:dyDescent="0.4">
      <c r="B8" s="17" t="s">
        <v>64</v>
      </c>
      <c r="C8" s="49"/>
      <c r="D8" s="49"/>
      <c r="E8" s="49"/>
      <c r="F8" s="49"/>
      <c r="G8" s="49"/>
    </row>
    <row r="9" spans="1:8" ht="31" x14ac:dyDescent="0.35">
      <c r="B9" s="16" t="s">
        <v>22</v>
      </c>
      <c r="C9" s="45"/>
      <c r="D9" s="45"/>
      <c r="E9" s="45"/>
      <c r="F9" s="45"/>
      <c r="G9" s="45"/>
    </row>
    <row r="10" spans="1:8" ht="31" x14ac:dyDescent="0.35">
      <c r="B10" s="17" t="s">
        <v>26</v>
      </c>
      <c r="C10" s="46"/>
      <c r="D10" s="46"/>
      <c r="E10" s="46"/>
      <c r="F10" s="46"/>
      <c r="G10" s="46"/>
    </row>
    <row r="11" spans="1:8" ht="32" thickBot="1" x14ac:dyDescent="0.4">
      <c r="B11" s="19" t="s">
        <v>27</v>
      </c>
      <c r="C11" s="50"/>
      <c r="D11" s="50"/>
      <c r="E11" s="50"/>
      <c r="F11" s="50"/>
      <c r="G11" s="50"/>
    </row>
    <row r="12" spans="1:8" ht="32" thickBot="1" x14ac:dyDescent="0.4">
      <c r="B12" s="104" t="s">
        <v>21</v>
      </c>
      <c r="C12" s="105"/>
      <c r="D12" s="105"/>
      <c r="E12" s="105"/>
      <c r="F12" s="105"/>
      <c r="G12" s="105"/>
    </row>
    <row r="13" spans="1:8" ht="31" x14ac:dyDescent="0.35">
      <c r="B13" s="106" t="s">
        <v>31</v>
      </c>
      <c r="C13" s="107"/>
      <c r="D13" s="107"/>
      <c r="E13" s="107"/>
      <c r="F13" s="107"/>
      <c r="G13" s="108"/>
    </row>
    <row r="14" spans="1:8" ht="31" x14ac:dyDescent="0.35">
      <c r="B14" s="17" t="s">
        <v>32</v>
      </c>
      <c r="C14" s="46"/>
      <c r="D14" s="46"/>
      <c r="E14" s="46"/>
      <c r="F14" s="46"/>
      <c r="G14" s="109"/>
    </row>
    <row r="15" spans="1:8" ht="32" thickBot="1" x14ac:dyDescent="0.4">
      <c r="B15" s="19" t="s">
        <v>65</v>
      </c>
      <c r="C15" s="50"/>
      <c r="D15" s="50"/>
      <c r="E15" s="50"/>
      <c r="F15" s="50"/>
      <c r="G15" s="110"/>
    </row>
    <row r="16" spans="1:8" ht="31" x14ac:dyDescent="0.35">
      <c r="B16" s="111" t="s">
        <v>66</v>
      </c>
      <c r="C16" s="102"/>
      <c r="D16" s="102"/>
      <c r="E16" s="102"/>
      <c r="F16" s="102"/>
      <c r="G16" s="103"/>
    </row>
    <row r="17" spans="2:7" ht="31" x14ac:dyDescent="0.35">
      <c r="B17" s="112" t="s">
        <v>67</v>
      </c>
      <c r="C17" s="98"/>
      <c r="D17" s="98"/>
      <c r="E17" s="98"/>
      <c r="F17" s="98"/>
      <c r="G17" s="99"/>
    </row>
    <row r="18" spans="2:7" ht="31" x14ac:dyDescent="0.35">
      <c r="B18" s="113" t="s">
        <v>68</v>
      </c>
      <c r="C18" s="98"/>
      <c r="D18" s="98"/>
      <c r="E18" s="98"/>
      <c r="F18" s="98"/>
      <c r="G18" s="99"/>
    </row>
    <row r="19" spans="2:7" ht="32" thickBot="1" x14ac:dyDescent="0.4">
      <c r="B19" s="114" t="s">
        <v>69</v>
      </c>
      <c r="C19" s="100"/>
      <c r="D19" s="100"/>
      <c r="E19" s="100"/>
      <c r="F19" s="100"/>
      <c r="G19" s="101"/>
    </row>
    <row r="20" spans="2:7" ht="31" x14ac:dyDescent="0.35">
      <c r="B20" s="52" t="s">
        <v>33</v>
      </c>
      <c r="C20" s="53"/>
      <c r="D20" s="53"/>
      <c r="E20" s="53"/>
      <c r="F20" s="53"/>
      <c r="G20" s="53"/>
    </row>
    <row r="21" spans="2:7" ht="31" x14ac:dyDescent="0.35">
      <c r="B21" s="17" t="s">
        <v>70</v>
      </c>
      <c r="C21" s="46"/>
      <c r="D21" s="46"/>
      <c r="E21" s="46"/>
      <c r="F21" s="46"/>
      <c r="G21" s="46"/>
    </row>
    <row r="22" spans="2:7" ht="32" thickBot="1" x14ac:dyDescent="0.4">
      <c r="B22" s="19" t="s">
        <v>71</v>
      </c>
      <c r="C22" s="50"/>
      <c r="D22" s="50"/>
      <c r="E22" s="50"/>
      <c r="F22" s="50"/>
      <c r="G22" s="50"/>
    </row>
    <row r="23" spans="2:7" ht="31" x14ac:dyDescent="0.35">
      <c r="B23" s="54" t="s">
        <v>30</v>
      </c>
      <c r="C23" s="55"/>
      <c r="D23" s="55"/>
      <c r="E23" s="55"/>
      <c r="F23" s="55"/>
      <c r="G23" s="55"/>
    </row>
  </sheetData>
  <hyperlinks>
    <hyperlink ref="A1" location="Navigation!A1" display="Home" xr:uid="{00000000-0004-0000-1100-000000000000}"/>
    <hyperlink ref="H1" location="Recommendations!A1" display="Recommendations" xr:uid="{00000000-0004-0000-1100-000001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3"/>
  <sheetViews>
    <sheetView zoomScale="80" zoomScaleNormal="80" workbookViewId="0">
      <selection activeCell="B21" sqref="B21"/>
    </sheetView>
  </sheetViews>
  <sheetFormatPr baseColWidth="10" defaultColWidth="11" defaultRowHeight="16" x14ac:dyDescent="0.2"/>
  <cols>
    <col min="2" max="2" width="49.5" customWidth="1"/>
    <col min="3" max="7" width="27.83203125" customWidth="1"/>
    <col min="8" max="8" width="25" customWidth="1"/>
  </cols>
  <sheetData>
    <row r="1" spans="1:8" ht="27" thickBot="1" x14ac:dyDescent="0.3">
      <c r="A1" s="82" t="s">
        <v>57</v>
      </c>
      <c r="B1" s="20" t="s">
        <v>17</v>
      </c>
      <c r="C1" s="13" t="s">
        <v>34</v>
      </c>
      <c r="D1" s="13" t="s">
        <v>35</v>
      </c>
      <c r="E1" s="13" t="s">
        <v>36</v>
      </c>
      <c r="F1" s="13" t="s">
        <v>37</v>
      </c>
      <c r="G1" s="13" t="s">
        <v>38</v>
      </c>
      <c r="H1" s="147" t="s">
        <v>82</v>
      </c>
    </row>
    <row r="2" spans="1:8" ht="31" x14ac:dyDescent="0.35">
      <c r="B2" s="16" t="s">
        <v>18</v>
      </c>
      <c r="C2" s="45"/>
      <c r="D2" s="45"/>
      <c r="E2" s="45"/>
      <c r="F2" s="45"/>
      <c r="G2" s="45"/>
    </row>
    <row r="3" spans="1:8" ht="31" x14ac:dyDescent="0.35">
      <c r="B3" s="17" t="s">
        <v>23</v>
      </c>
      <c r="C3" s="46"/>
      <c r="D3" s="46"/>
      <c r="E3" s="46"/>
      <c r="F3" s="46"/>
      <c r="G3" s="46"/>
    </row>
    <row r="4" spans="1:8" ht="31" x14ac:dyDescent="0.35">
      <c r="B4" s="17" t="s">
        <v>24</v>
      </c>
      <c r="C4" s="46"/>
      <c r="D4" s="46"/>
      <c r="E4" s="46"/>
      <c r="F4" s="46"/>
      <c r="G4" s="46"/>
    </row>
    <row r="5" spans="1:8" ht="32" thickBot="1" x14ac:dyDescent="0.4">
      <c r="B5" s="18" t="s">
        <v>25</v>
      </c>
      <c r="C5" s="47"/>
      <c r="D5" s="47"/>
      <c r="E5" s="47"/>
      <c r="F5" s="47"/>
      <c r="G5" s="47"/>
    </row>
    <row r="6" spans="1:8" ht="31" x14ac:dyDescent="0.35">
      <c r="B6" s="16" t="s">
        <v>50</v>
      </c>
      <c r="C6" s="45"/>
      <c r="D6" s="45"/>
      <c r="E6" s="45"/>
      <c r="F6" s="45"/>
      <c r="G6" s="45"/>
    </row>
    <row r="7" spans="1:8" ht="31" x14ac:dyDescent="0.35">
      <c r="B7" s="17" t="s">
        <v>19</v>
      </c>
      <c r="C7" s="48"/>
      <c r="D7" s="48"/>
      <c r="E7" s="48"/>
      <c r="F7" s="48"/>
      <c r="G7" s="48"/>
    </row>
    <row r="8" spans="1:8" ht="32" thickBot="1" x14ac:dyDescent="0.4">
      <c r="B8" s="17" t="s">
        <v>64</v>
      </c>
      <c r="C8" s="49"/>
      <c r="D8" s="49"/>
      <c r="E8" s="49"/>
      <c r="F8" s="49"/>
      <c r="G8" s="49"/>
    </row>
    <row r="9" spans="1:8" ht="31" x14ac:dyDescent="0.35">
      <c r="B9" s="16" t="s">
        <v>22</v>
      </c>
      <c r="C9" s="45"/>
      <c r="D9" s="45"/>
      <c r="E9" s="45"/>
      <c r="F9" s="45"/>
      <c r="G9" s="45"/>
    </row>
    <row r="10" spans="1:8" ht="31" x14ac:dyDescent="0.35">
      <c r="B10" s="17" t="s">
        <v>26</v>
      </c>
      <c r="C10" s="46"/>
      <c r="D10" s="46"/>
      <c r="E10" s="46"/>
      <c r="F10" s="46"/>
      <c r="G10" s="46"/>
    </row>
    <row r="11" spans="1:8" ht="32" thickBot="1" x14ac:dyDescent="0.4">
      <c r="B11" s="19" t="s">
        <v>27</v>
      </c>
      <c r="C11" s="50"/>
      <c r="D11" s="50"/>
      <c r="E11" s="50"/>
      <c r="F11" s="50"/>
      <c r="G11" s="50"/>
    </row>
    <row r="12" spans="1:8" ht="32" thickBot="1" x14ac:dyDescent="0.4">
      <c r="B12" s="104" t="s">
        <v>21</v>
      </c>
      <c r="C12" s="105"/>
      <c r="D12" s="105"/>
      <c r="E12" s="105"/>
      <c r="F12" s="105"/>
      <c r="G12" s="105"/>
    </row>
    <row r="13" spans="1:8" ht="31" x14ac:dyDescent="0.35">
      <c r="B13" s="106" t="s">
        <v>31</v>
      </c>
      <c r="C13" s="107"/>
      <c r="D13" s="107"/>
      <c r="E13" s="107"/>
      <c r="F13" s="107"/>
      <c r="G13" s="108"/>
    </row>
    <row r="14" spans="1:8" ht="31" x14ac:dyDescent="0.35">
      <c r="B14" s="17" t="s">
        <v>32</v>
      </c>
      <c r="C14" s="46"/>
      <c r="D14" s="46"/>
      <c r="E14" s="46"/>
      <c r="F14" s="46"/>
      <c r="G14" s="109"/>
    </row>
    <row r="15" spans="1:8" ht="32" thickBot="1" x14ac:dyDescent="0.4">
      <c r="B15" s="19" t="s">
        <v>65</v>
      </c>
      <c r="C15" s="50"/>
      <c r="D15" s="50"/>
      <c r="E15" s="50"/>
      <c r="F15" s="50"/>
      <c r="G15" s="110"/>
    </row>
    <row r="16" spans="1:8" ht="31" x14ac:dyDescent="0.35">
      <c r="B16" s="111" t="s">
        <v>66</v>
      </c>
      <c r="C16" s="102"/>
      <c r="D16" s="102"/>
      <c r="E16" s="102"/>
      <c r="F16" s="102"/>
      <c r="G16" s="103"/>
    </row>
    <row r="17" spans="2:7" ht="31" x14ac:dyDescent="0.35">
      <c r="B17" s="112" t="s">
        <v>67</v>
      </c>
      <c r="C17" s="98"/>
      <c r="D17" s="98"/>
      <c r="E17" s="98"/>
      <c r="F17" s="98"/>
      <c r="G17" s="99"/>
    </row>
    <row r="18" spans="2:7" ht="31" x14ac:dyDescent="0.35">
      <c r="B18" s="113" t="s">
        <v>68</v>
      </c>
      <c r="C18" s="98"/>
      <c r="D18" s="98"/>
      <c r="E18" s="98"/>
      <c r="F18" s="98"/>
      <c r="G18" s="99"/>
    </row>
    <row r="19" spans="2:7" ht="32" thickBot="1" x14ac:dyDescent="0.4">
      <c r="B19" s="114" t="s">
        <v>69</v>
      </c>
      <c r="C19" s="100"/>
      <c r="D19" s="100"/>
      <c r="E19" s="100"/>
      <c r="F19" s="100"/>
      <c r="G19" s="101"/>
    </row>
    <row r="20" spans="2:7" ht="31" x14ac:dyDescent="0.35">
      <c r="B20" s="52" t="s">
        <v>33</v>
      </c>
      <c r="C20" s="53"/>
      <c r="D20" s="53"/>
      <c r="E20" s="53"/>
      <c r="F20" s="53"/>
      <c r="G20" s="53"/>
    </row>
    <row r="21" spans="2:7" ht="31" x14ac:dyDescent="0.35">
      <c r="B21" s="17" t="s">
        <v>70</v>
      </c>
      <c r="C21" s="46"/>
      <c r="D21" s="46"/>
      <c r="E21" s="46"/>
      <c r="F21" s="46"/>
      <c r="G21" s="46"/>
    </row>
    <row r="22" spans="2:7" ht="32" thickBot="1" x14ac:dyDescent="0.4">
      <c r="B22" s="19" t="s">
        <v>71</v>
      </c>
      <c r="C22" s="50"/>
      <c r="D22" s="50"/>
      <c r="E22" s="50"/>
      <c r="F22" s="50"/>
      <c r="G22" s="50"/>
    </row>
    <row r="23" spans="2:7" ht="31" x14ac:dyDescent="0.35">
      <c r="B23" s="54" t="s">
        <v>30</v>
      </c>
      <c r="C23" s="55"/>
      <c r="D23" s="55"/>
      <c r="E23" s="55"/>
      <c r="F23" s="55"/>
      <c r="G23" s="55"/>
    </row>
  </sheetData>
  <hyperlinks>
    <hyperlink ref="A1" location="Navigation!A1" display="Home" xr:uid="{00000000-0004-0000-1200-000000000000}"/>
    <hyperlink ref="H1" location="Recommendations!A1" display="Recommendations" xr:uid="{00000000-0004-0000-1200-000001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3"/>
  <sheetViews>
    <sheetView zoomScale="80" zoomScaleNormal="80" workbookViewId="0">
      <selection activeCell="B21" sqref="B21"/>
    </sheetView>
  </sheetViews>
  <sheetFormatPr baseColWidth="10" defaultColWidth="11" defaultRowHeight="16" x14ac:dyDescent="0.2"/>
  <cols>
    <col min="2" max="2" width="49.5" customWidth="1"/>
    <col min="3" max="7" width="27.83203125" customWidth="1"/>
    <col min="8" max="8" width="25" customWidth="1"/>
  </cols>
  <sheetData>
    <row r="1" spans="1:8" ht="27" thickBot="1" x14ac:dyDescent="0.3">
      <c r="A1" s="82" t="s">
        <v>57</v>
      </c>
      <c r="B1" s="20" t="s">
        <v>17</v>
      </c>
      <c r="C1" s="13" t="s">
        <v>34</v>
      </c>
      <c r="D1" s="13" t="s">
        <v>35</v>
      </c>
      <c r="E1" s="13" t="s">
        <v>36</v>
      </c>
      <c r="F1" s="13" t="s">
        <v>37</v>
      </c>
      <c r="G1" s="13" t="s">
        <v>38</v>
      </c>
      <c r="H1" s="147" t="s">
        <v>82</v>
      </c>
    </row>
    <row r="2" spans="1:8" ht="31" x14ac:dyDescent="0.35">
      <c r="B2" s="16" t="s">
        <v>18</v>
      </c>
      <c r="C2" s="45"/>
      <c r="D2" s="45"/>
      <c r="E2" s="45"/>
      <c r="F2" s="45"/>
      <c r="G2" s="45"/>
    </row>
    <row r="3" spans="1:8" ht="31" x14ac:dyDescent="0.35">
      <c r="B3" s="17" t="s">
        <v>23</v>
      </c>
      <c r="C3" s="46"/>
      <c r="D3" s="46"/>
      <c r="E3" s="46"/>
      <c r="F3" s="46"/>
      <c r="G3" s="46"/>
    </row>
    <row r="4" spans="1:8" ht="31" x14ac:dyDescent="0.35">
      <c r="B4" s="17" t="s">
        <v>24</v>
      </c>
      <c r="C4" s="46"/>
      <c r="D4" s="46"/>
      <c r="E4" s="46"/>
      <c r="F4" s="46"/>
      <c r="G4" s="46"/>
    </row>
    <row r="5" spans="1:8" ht="32" thickBot="1" x14ac:dyDescent="0.4">
      <c r="B5" s="18" t="s">
        <v>25</v>
      </c>
      <c r="C5" s="47"/>
      <c r="D5" s="47"/>
      <c r="E5" s="47"/>
      <c r="F5" s="47"/>
      <c r="G5" s="47"/>
    </row>
    <row r="6" spans="1:8" ht="31" x14ac:dyDescent="0.35">
      <c r="B6" s="16" t="s">
        <v>50</v>
      </c>
      <c r="C6" s="45"/>
      <c r="D6" s="45"/>
      <c r="E6" s="45"/>
      <c r="F6" s="45"/>
      <c r="G6" s="45"/>
    </row>
    <row r="7" spans="1:8" ht="31" x14ac:dyDescent="0.35">
      <c r="B7" s="17" t="s">
        <v>19</v>
      </c>
      <c r="C7" s="48"/>
      <c r="D7" s="48"/>
      <c r="E7" s="48"/>
      <c r="F7" s="48"/>
      <c r="G7" s="48"/>
    </row>
    <row r="8" spans="1:8" ht="32" thickBot="1" x14ac:dyDescent="0.4">
      <c r="B8" s="17" t="s">
        <v>64</v>
      </c>
      <c r="C8" s="49"/>
      <c r="D8" s="49"/>
      <c r="E8" s="49"/>
      <c r="F8" s="49"/>
      <c r="G8" s="49"/>
    </row>
    <row r="9" spans="1:8" ht="31" x14ac:dyDescent="0.35">
      <c r="B9" s="16" t="s">
        <v>22</v>
      </c>
      <c r="C9" s="45"/>
      <c r="D9" s="45"/>
      <c r="E9" s="45"/>
      <c r="F9" s="45"/>
      <c r="G9" s="45"/>
    </row>
    <row r="10" spans="1:8" ht="31" x14ac:dyDescent="0.35">
      <c r="B10" s="17" t="s">
        <v>26</v>
      </c>
      <c r="C10" s="46"/>
      <c r="D10" s="46"/>
      <c r="E10" s="46"/>
      <c r="F10" s="46"/>
      <c r="G10" s="46"/>
    </row>
    <row r="11" spans="1:8" ht="32" thickBot="1" x14ac:dyDescent="0.4">
      <c r="B11" s="19" t="s">
        <v>27</v>
      </c>
      <c r="C11" s="50"/>
      <c r="D11" s="50"/>
      <c r="E11" s="50"/>
      <c r="F11" s="50"/>
      <c r="G11" s="50"/>
    </row>
    <row r="12" spans="1:8" ht="32" thickBot="1" x14ac:dyDescent="0.4">
      <c r="B12" s="104" t="s">
        <v>21</v>
      </c>
      <c r="C12" s="105"/>
      <c r="D12" s="105"/>
      <c r="E12" s="105"/>
      <c r="F12" s="105"/>
      <c r="G12" s="105"/>
    </row>
    <row r="13" spans="1:8" ht="31" x14ac:dyDescent="0.35">
      <c r="B13" s="106" t="s">
        <v>31</v>
      </c>
      <c r="C13" s="107"/>
      <c r="D13" s="107"/>
      <c r="E13" s="107"/>
      <c r="F13" s="107"/>
      <c r="G13" s="108"/>
    </row>
    <row r="14" spans="1:8" ht="31" x14ac:dyDescent="0.35">
      <c r="B14" s="17" t="s">
        <v>32</v>
      </c>
      <c r="C14" s="46"/>
      <c r="D14" s="46"/>
      <c r="E14" s="46"/>
      <c r="F14" s="46"/>
      <c r="G14" s="109"/>
    </row>
    <row r="15" spans="1:8" ht="32" thickBot="1" x14ac:dyDescent="0.4">
      <c r="B15" s="19" t="s">
        <v>65</v>
      </c>
      <c r="C15" s="50"/>
      <c r="D15" s="50"/>
      <c r="E15" s="50"/>
      <c r="F15" s="50"/>
      <c r="G15" s="110"/>
    </row>
    <row r="16" spans="1:8" ht="31" x14ac:dyDescent="0.35">
      <c r="B16" s="111" t="s">
        <v>66</v>
      </c>
      <c r="C16" s="102"/>
      <c r="D16" s="102"/>
      <c r="E16" s="102"/>
      <c r="F16" s="102"/>
      <c r="G16" s="103"/>
    </row>
    <row r="17" spans="2:7" ht="31" x14ac:dyDescent="0.35">
      <c r="B17" s="112" t="s">
        <v>67</v>
      </c>
      <c r="C17" s="98"/>
      <c r="D17" s="98"/>
      <c r="E17" s="98"/>
      <c r="F17" s="98"/>
      <c r="G17" s="99"/>
    </row>
    <row r="18" spans="2:7" ht="31" x14ac:dyDescent="0.35">
      <c r="B18" s="113" t="s">
        <v>68</v>
      </c>
      <c r="C18" s="98"/>
      <c r="D18" s="98"/>
      <c r="E18" s="98"/>
      <c r="F18" s="98"/>
      <c r="G18" s="99"/>
    </row>
    <row r="19" spans="2:7" ht="32" thickBot="1" x14ac:dyDescent="0.4">
      <c r="B19" s="114" t="s">
        <v>69</v>
      </c>
      <c r="C19" s="100"/>
      <c r="D19" s="100"/>
      <c r="E19" s="100"/>
      <c r="F19" s="100"/>
      <c r="G19" s="101"/>
    </row>
    <row r="20" spans="2:7" ht="31" x14ac:dyDescent="0.35">
      <c r="B20" s="52" t="s">
        <v>33</v>
      </c>
      <c r="C20" s="53"/>
      <c r="D20" s="53"/>
      <c r="E20" s="53"/>
      <c r="F20" s="53"/>
      <c r="G20" s="53"/>
    </row>
    <row r="21" spans="2:7" ht="31" x14ac:dyDescent="0.35">
      <c r="B21" s="17" t="s">
        <v>70</v>
      </c>
      <c r="C21" s="46"/>
      <c r="D21" s="46"/>
      <c r="E21" s="46"/>
      <c r="F21" s="46"/>
      <c r="G21" s="46"/>
    </row>
    <row r="22" spans="2:7" ht="32" thickBot="1" x14ac:dyDescent="0.4">
      <c r="B22" s="19" t="s">
        <v>71</v>
      </c>
      <c r="C22" s="50"/>
      <c r="D22" s="50"/>
      <c r="E22" s="50"/>
      <c r="F22" s="50"/>
      <c r="G22" s="50"/>
    </row>
    <row r="23" spans="2:7" ht="31" x14ac:dyDescent="0.35">
      <c r="B23" s="54" t="s">
        <v>30</v>
      </c>
      <c r="C23" s="55"/>
      <c r="D23" s="55"/>
      <c r="E23" s="55"/>
      <c r="F23" s="55"/>
      <c r="G23" s="55"/>
    </row>
  </sheetData>
  <hyperlinks>
    <hyperlink ref="A1" location="Navigation!A1" display="Home" xr:uid="{00000000-0004-0000-1300-000000000000}"/>
    <hyperlink ref="H1" location="Recommendations!A1" display="Recommendations" xr:uid="{00000000-0004-0000-1300-000001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23"/>
  <sheetViews>
    <sheetView zoomScale="80" zoomScaleNormal="80" workbookViewId="0">
      <selection activeCell="B21" sqref="B21"/>
    </sheetView>
  </sheetViews>
  <sheetFormatPr baseColWidth="10" defaultColWidth="11" defaultRowHeight="16" x14ac:dyDescent="0.2"/>
  <cols>
    <col min="2" max="2" width="49.5" customWidth="1"/>
    <col min="3" max="7" width="27.83203125" customWidth="1"/>
    <col min="8" max="8" width="25" customWidth="1"/>
  </cols>
  <sheetData>
    <row r="1" spans="1:8" ht="27" thickBot="1" x14ac:dyDescent="0.3">
      <c r="A1" s="82" t="s">
        <v>57</v>
      </c>
      <c r="B1" s="20" t="s">
        <v>17</v>
      </c>
      <c r="C1" s="13" t="s">
        <v>34</v>
      </c>
      <c r="D1" s="13" t="s">
        <v>35</v>
      </c>
      <c r="E1" s="13" t="s">
        <v>36</v>
      </c>
      <c r="F1" s="13" t="s">
        <v>37</v>
      </c>
      <c r="G1" s="13" t="s">
        <v>38</v>
      </c>
      <c r="H1" s="147" t="s">
        <v>82</v>
      </c>
    </row>
    <row r="2" spans="1:8" ht="31" x14ac:dyDescent="0.35">
      <c r="B2" s="16" t="s">
        <v>18</v>
      </c>
      <c r="C2" s="45"/>
      <c r="D2" s="45"/>
      <c r="E2" s="45"/>
      <c r="F2" s="45"/>
      <c r="G2" s="45"/>
    </row>
    <row r="3" spans="1:8" ht="31" x14ac:dyDescent="0.35">
      <c r="B3" s="17" t="s">
        <v>23</v>
      </c>
      <c r="C3" s="46"/>
      <c r="D3" s="46"/>
      <c r="E3" s="46"/>
      <c r="F3" s="46"/>
      <c r="G3" s="46"/>
    </row>
    <row r="4" spans="1:8" ht="31" x14ac:dyDescent="0.35">
      <c r="B4" s="17" t="s">
        <v>24</v>
      </c>
      <c r="C4" s="46"/>
      <c r="D4" s="46"/>
      <c r="E4" s="46"/>
      <c r="F4" s="46"/>
      <c r="G4" s="46"/>
    </row>
    <row r="5" spans="1:8" ht="32" thickBot="1" x14ac:dyDescent="0.4">
      <c r="B5" s="18" t="s">
        <v>25</v>
      </c>
      <c r="C5" s="47"/>
      <c r="D5" s="47"/>
      <c r="E5" s="47"/>
      <c r="F5" s="47"/>
      <c r="G5" s="47"/>
    </row>
    <row r="6" spans="1:8" ht="31" x14ac:dyDescent="0.35">
      <c r="B6" s="16" t="s">
        <v>50</v>
      </c>
      <c r="C6" s="45"/>
      <c r="D6" s="45"/>
      <c r="E6" s="45"/>
      <c r="F6" s="45"/>
      <c r="G6" s="45"/>
    </row>
    <row r="7" spans="1:8" ht="31" x14ac:dyDescent="0.35">
      <c r="B7" s="17" t="s">
        <v>19</v>
      </c>
      <c r="C7" s="48"/>
      <c r="D7" s="48"/>
      <c r="E7" s="48"/>
      <c r="F7" s="48"/>
      <c r="G7" s="48"/>
    </row>
    <row r="8" spans="1:8" ht="32" thickBot="1" x14ac:dyDescent="0.4">
      <c r="B8" s="17" t="s">
        <v>64</v>
      </c>
      <c r="C8" s="49"/>
      <c r="D8" s="49"/>
      <c r="E8" s="49"/>
      <c r="F8" s="49"/>
      <c r="G8" s="49"/>
    </row>
    <row r="9" spans="1:8" ht="31" x14ac:dyDescent="0.35">
      <c r="B9" s="16" t="s">
        <v>22</v>
      </c>
      <c r="C9" s="45"/>
      <c r="D9" s="45"/>
      <c r="E9" s="45"/>
      <c r="F9" s="45"/>
      <c r="G9" s="45"/>
    </row>
    <row r="10" spans="1:8" ht="31" x14ac:dyDescent="0.35">
      <c r="B10" s="17" t="s">
        <v>26</v>
      </c>
      <c r="C10" s="46"/>
      <c r="D10" s="46"/>
      <c r="E10" s="46"/>
      <c r="F10" s="46"/>
      <c r="G10" s="46"/>
    </row>
    <row r="11" spans="1:8" ht="32" thickBot="1" x14ac:dyDescent="0.4">
      <c r="B11" s="19" t="s">
        <v>27</v>
      </c>
      <c r="C11" s="50"/>
      <c r="D11" s="50"/>
      <c r="E11" s="50"/>
      <c r="F11" s="50"/>
      <c r="G11" s="50"/>
    </row>
    <row r="12" spans="1:8" ht="32" thickBot="1" x14ac:dyDescent="0.4">
      <c r="B12" s="104" t="s">
        <v>21</v>
      </c>
      <c r="C12" s="105"/>
      <c r="D12" s="105"/>
      <c r="E12" s="105"/>
      <c r="F12" s="105"/>
      <c r="G12" s="105"/>
    </row>
    <row r="13" spans="1:8" ht="31" x14ac:dyDescent="0.35">
      <c r="B13" s="106" t="s">
        <v>31</v>
      </c>
      <c r="C13" s="107"/>
      <c r="D13" s="107"/>
      <c r="E13" s="107"/>
      <c r="F13" s="107"/>
      <c r="G13" s="108"/>
    </row>
    <row r="14" spans="1:8" ht="31" x14ac:dyDescent="0.35">
      <c r="B14" s="17" t="s">
        <v>32</v>
      </c>
      <c r="C14" s="46"/>
      <c r="D14" s="46"/>
      <c r="E14" s="46"/>
      <c r="F14" s="46"/>
      <c r="G14" s="109"/>
    </row>
    <row r="15" spans="1:8" ht="32" thickBot="1" x14ac:dyDescent="0.4">
      <c r="B15" s="19" t="s">
        <v>65</v>
      </c>
      <c r="C15" s="50"/>
      <c r="D15" s="50"/>
      <c r="E15" s="50"/>
      <c r="F15" s="50"/>
      <c r="G15" s="110"/>
    </row>
    <row r="16" spans="1:8" ht="31" x14ac:dyDescent="0.35">
      <c r="B16" s="111" t="s">
        <v>66</v>
      </c>
      <c r="C16" s="102"/>
      <c r="D16" s="102"/>
      <c r="E16" s="102"/>
      <c r="F16" s="102"/>
      <c r="G16" s="103"/>
    </row>
    <row r="17" spans="2:7" ht="31" x14ac:dyDescent="0.35">
      <c r="B17" s="112" t="s">
        <v>67</v>
      </c>
      <c r="C17" s="98"/>
      <c r="D17" s="98"/>
      <c r="E17" s="98"/>
      <c r="F17" s="98"/>
      <c r="G17" s="99"/>
    </row>
    <row r="18" spans="2:7" ht="31" x14ac:dyDescent="0.35">
      <c r="B18" s="113" t="s">
        <v>68</v>
      </c>
      <c r="C18" s="98"/>
      <c r="D18" s="98"/>
      <c r="E18" s="98"/>
      <c r="F18" s="98"/>
      <c r="G18" s="99"/>
    </row>
    <row r="19" spans="2:7" ht="32" thickBot="1" x14ac:dyDescent="0.4">
      <c r="B19" s="114" t="s">
        <v>69</v>
      </c>
      <c r="C19" s="100"/>
      <c r="D19" s="100"/>
      <c r="E19" s="100"/>
      <c r="F19" s="100"/>
      <c r="G19" s="101"/>
    </row>
    <row r="20" spans="2:7" ht="31" x14ac:dyDescent="0.35">
      <c r="B20" s="52" t="s">
        <v>33</v>
      </c>
      <c r="C20" s="53"/>
      <c r="D20" s="53"/>
      <c r="E20" s="53"/>
      <c r="F20" s="53"/>
      <c r="G20" s="53"/>
    </row>
    <row r="21" spans="2:7" ht="31" x14ac:dyDescent="0.35">
      <c r="B21" s="17" t="s">
        <v>70</v>
      </c>
      <c r="C21" s="46"/>
      <c r="D21" s="46"/>
      <c r="E21" s="46"/>
      <c r="F21" s="46"/>
      <c r="G21" s="46"/>
    </row>
    <row r="22" spans="2:7" ht="32" thickBot="1" x14ac:dyDescent="0.4">
      <c r="B22" s="19" t="s">
        <v>71</v>
      </c>
      <c r="C22" s="50"/>
      <c r="D22" s="50"/>
      <c r="E22" s="50"/>
      <c r="F22" s="50"/>
      <c r="G22" s="50"/>
    </row>
    <row r="23" spans="2:7" ht="31" x14ac:dyDescent="0.35">
      <c r="B23" s="54" t="s">
        <v>30</v>
      </c>
      <c r="C23" s="55"/>
      <c r="D23" s="55"/>
      <c r="E23" s="55"/>
      <c r="F23" s="55"/>
      <c r="G23" s="55"/>
    </row>
  </sheetData>
  <hyperlinks>
    <hyperlink ref="A1" location="Navigation!A1" display="Home" xr:uid="{00000000-0004-0000-1400-000000000000}"/>
    <hyperlink ref="H1" location="Recommendations!A1" display="Recommendations" xr:uid="{00000000-0004-0000-1400-000001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3"/>
  <sheetViews>
    <sheetView zoomScale="80" zoomScaleNormal="80" workbookViewId="0"/>
  </sheetViews>
  <sheetFormatPr baseColWidth="10" defaultColWidth="11" defaultRowHeight="16" x14ac:dyDescent="0.2"/>
  <cols>
    <col min="2" max="2" width="49.5" customWidth="1"/>
    <col min="3" max="7" width="27.83203125" customWidth="1"/>
    <col min="8" max="8" width="25" customWidth="1"/>
  </cols>
  <sheetData>
    <row r="1" spans="1:8" ht="27" thickBot="1" x14ac:dyDescent="0.3">
      <c r="A1" s="82" t="s">
        <v>57</v>
      </c>
      <c r="B1" s="20" t="s">
        <v>17</v>
      </c>
      <c r="C1" s="13" t="s">
        <v>34</v>
      </c>
      <c r="D1" s="13" t="s">
        <v>35</v>
      </c>
      <c r="E1" s="13" t="s">
        <v>36</v>
      </c>
      <c r="F1" s="13" t="s">
        <v>37</v>
      </c>
      <c r="G1" s="13" t="s">
        <v>38</v>
      </c>
      <c r="H1" s="147" t="s">
        <v>82</v>
      </c>
    </row>
    <row r="2" spans="1:8" ht="31" x14ac:dyDescent="0.35">
      <c r="B2" s="16" t="s">
        <v>18</v>
      </c>
      <c r="C2" s="45"/>
      <c r="D2" s="45"/>
      <c r="E2" s="45"/>
      <c r="F2" s="45"/>
      <c r="G2" s="45"/>
    </row>
    <row r="3" spans="1:8" ht="31" x14ac:dyDescent="0.35">
      <c r="B3" s="17" t="s">
        <v>23</v>
      </c>
      <c r="C3" s="46"/>
      <c r="D3" s="46"/>
      <c r="E3" s="46"/>
      <c r="F3" s="46"/>
      <c r="G3" s="46"/>
    </row>
    <row r="4" spans="1:8" ht="31" x14ac:dyDescent="0.35">
      <c r="B4" s="17" t="s">
        <v>24</v>
      </c>
      <c r="C4" s="46"/>
      <c r="D4" s="46"/>
      <c r="E4" s="46"/>
      <c r="F4" s="46"/>
      <c r="G4" s="46"/>
    </row>
    <row r="5" spans="1:8" ht="32" thickBot="1" x14ac:dyDescent="0.4">
      <c r="B5" s="18" t="s">
        <v>25</v>
      </c>
      <c r="C5" s="47"/>
      <c r="D5" s="47"/>
      <c r="E5" s="47"/>
      <c r="F5" s="47"/>
      <c r="G5" s="47"/>
    </row>
    <row r="6" spans="1:8" ht="31" x14ac:dyDescent="0.35">
      <c r="B6" s="16" t="s">
        <v>50</v>
      </c>
      <c r="C6" s="45"/>
      <c r="D6" s="45"/>
      <c r="E6" s="45"/>
      <c r="F6" s="45"/>
      <c r="G6" s="45"/>
    </row>
    <row r="7" spans="1:8" ht="31" x14ac:dyDescent="0.35">
      <c r="B7" s="17" t="s">
        <v>19</v>
      </c>
      <c r="C7" s="48"/>
      <c r="D7" s="48"/>
      <c r="E7" s="48"/>
      <c r="F7" s="48"/>
      <c r="G7" s="48"/>
    </row>
    <row r="8" spans="1:8" ht="32" thickBot="1" x14ac:dyDescent="0.4">
      <c r="B8" s="17" t="s">
        <v>64</v>
      </c>
      <c r="C8" s="49"/>
      <c r="D8" s="49"/>
      <c r="E8" s="49"/>
      <c r="F8" s="49"/>
      <c r="G8" s="49"/>
    </row>
    <row r="9" spans="1:8" ht="31" x14ac:dyDescent="0.35">
      <c r="B9" s="16" t="s">
        <v>22</v>
      </c>
      <c r="C9" s="45"/>
      <c r="D9" s="45"/>
      <c r="E9" s="45"/>
      <c r="F9" s="45"/>
      <c r="G9" s="45"/>
    </row>
    <row r="10" spans="1:8" ht="31" x14ac:dyDescent="0.35">
      <c r="B10" s="17" t="s">
        <v>26</v>
      </c>
      <c r="C10" s="46"/>
      <c r="D10" s="46"/>
      <c r="E10" s="46"/>
      <c r="F10" s="46"/>
      <c r="G10" s="46"/>
    </row>
    <row r="11" spans="1:8" ht="32" thickBot="1" x14ac:dyDescent="0.4">
      <c r="B11" s="19" t="s">
        <v>27</v>
      </c>
      <c r="C11" s="50"/>
      <c r="D11" s="50"/>
      <c r="E11" s="50"/>
      <c r="F11" s="50"/>
      <c r="G11" s="50"/>
    </row>
    <row r="12" spans="1:8" ht="32" thickBot="1" x14ac:dyDescent="0.4">
      <c r="B12" s="104" t="s">
        <v>21</v>
      </c>
      <c r="C12" s="105"/>
      <c r="D12" s="105"/>
      <c r="E12" s="105"/>
      <c r="F12" s="105"/>
      <c r="G12" s="105"/>
    </row>
    <row r="13" spans="1:8" ht="31" x14ac:dyDescent="0.35">
      <c r="B13" s="106" t="s">
        <v>31</v>
      </c>
      <c r="C13" s="107"/>
      <c r="D13" s="107"/>
      <c r="E13" s="107"/>
      <c r="F13" s="107"/>
      <c r="G13" s="108"/>
    </row>
    <row r="14" spans="1:8" ht="31" x14ac:dyDescent="0.35">
      <c r="B14" s="17" t="s">
        <v>32</v>
      </c>
      <c r="C14" s="46"/>
      <c r="D14" s="46"/>
      <c r="E14" s="46"/>
      <c r="F14" s="46"/>
      <c r="G14" s="109"/>
    </row>
    <row r="15" spans="1:8" ht="32" thickBot="1" x14ac:dyDescent="0.4">
      <c r="B15" s="19" t="s">
        <v>65</v>
      </c>
      <c r="C15" s="50"/>
      <c r="D15" s="50"/>
      <c r="E15" s="50"/>
      <c r="F15" s="50"/>
      <c r="G15" s="110"/>
    </row>
    <row r="16" spans="1:8" ht="31" x14ac:dyDescent="0.35">
      <c r="B16" s="111" t="s">
        <v>66</v>
      </c>
      <c r="C16" s="102"/>
      <c r="D16" s="102"/>
      <c r="E16" s="102"/>
      <c r="F16" s="102"/>
      <c r="G16" s="103"/>
    </row>
    <row r="17" spans="2:7" ht="31" x14ac:dyDescent="0.35">
      <c r="B17" s="112" t="s">
        <v>67</v>
      </c>
      <c r="C17" s="98"/>
      <c r="D17" s="98"/>
      <c r="E17" s="98"/>
      <c r="F17" s="98"/>
      <c r="G17" s="99"/>
    </row>
    <row r="18" spans="2:7" ht="31" x14ac:dyDescent="0.35">
      <c r="B18" s="113" t="s">
        <v>68</v>
      </c>
      <c r="C18" s="98"/>
      <c r="D18" s="98"/>
      <c r="E18" s="98"/>
      <c r="F18" s="98"/>
      <c r="G18" s="99"/>
    </row>
    <row r="19" spans="2:7" ht="32" thickBot="1" x14ac:dyDescent="0.4">
      <c r="B19" s="114" t="s">
        <v>69</v>
      </c>
      <c r="C19" s="100"/>
      <c r="D19" s="100"/>
      <c r="E19" s="100"/>
      <c r="F19" s="100"/>
      <c r="G19" s="101"/>
    </row>
    <row r="20" spans="2:7" ht="31" x14ac:dyDescent="0.35">
      <c r="B20" s="52" t="s">
        <v>33</v>
      </c>
      <c r="C20" s="53"/>
      <c r="D20" s="53"/>
      <c r="E20" s="53"/>
      <c r="F20" s="53"/>
      <c r="G20" s="53"/>
    </row>
    <row r="21" spans="2:7" ht="31" x14ac:dyDescent="0.35">
      <c r="B21" s="17" t="s">
        <v>70</v>
      </c>
      <c r="C21" s="46"/>
      <c r="D21" s="46"/>
      <c r="E21" s="46"/>
      <c r="F21" s="46"/>
      <c r="G21" s="46"/>
    </row>
    <row r="22" spans="2:7" ht="32" thickBot="1" x14ac:dyDescent="0.4">
      <c r="B22" s="19" t="s">
        <v>71</v>
      </c>
      <c r="C22" s="50"/>
      <c r="D22" s="50"/>
      <c r="E22" s="50"/>
      <c r="F22" s="50"/>
      <c r="G22" s="50"/>
    </row>
    <row r="23" spans="2:7" ht="31" x14ac:dyDescent="0.35">
      <c r="B23" s="54" t="s">
        <v>30</v>
      </c>
      <c r="C23" s="55"/>
      <c r="D23" s="55"/>
      <c r="E23" s="55"/>
      <c r="F23" s="55"/>
      <c r="G23" s="55"/>
    </row>
  </sheetData>
  <hyperlinks>
    <hyperlink ref="A1" location="Navigation!A1" display="Home" xr:uid="{00000000-0004-0000-1500-000000000000}"/>
    <hyperlink ref="H1" location="Recommendations!A1" display="Recommendations" xr:uid="{00000000-0004-0000-1500-000001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23"/>
  <sheetViews>
    <sheetView zoomScale="80" zoomScaleNormal="80" workbookViewId="0">
      <selection activeCell="B21" sqref="B21"/>
    </sheetView>
  </sheetViews>
  <sheetFormatPr baseColWidth="10" defaultColWidth="11" defaultRowHeight="16" x14ac:dyDescent="0.2"/>
  <cols>
    <col min="2" max="2" width="49.5" customWidth="1"/>
    <col min="3" max="7" width="27.83203125" customWidth="1"/>
    <col min="8" max="8" width="25" customWidth="1"/>
  </cols>
  <sheetData>
    <row r="1" spans="1:8" ht="27" thickBot="1" x14ac:dyDescent="0.3">
      <c r="A1" s="82" t="s">
        <v>57</v>
      </c>
      <c r="B1" s="20" t="s">
        <v>17</v>
      </c>
      <c r="C1" s="13" t="s">
        <v>34</v>
      </c>
      <c r="D1" s="13" t="s">
        <v>35</v>
      </c>
      <c r="E1" s="13" t="s">
        <v>36</v>
      </c>
      <c r="F1" s="13" t="s">
        <v>37</v>
      </c>
      <c r="G1" s="13" t="s">
        <v>38</v>
      </c>
      <c r="H1" s="147" t="s">
        <v>82</v>
      </c>
    </row>
    <row r="2" spans="1:8" ht="31" x14ac:dyDescent="0.35">
      <c r="B2" s="16" t="s">
        <v>18</v>
      </c>
      <c r="C2" s="45"/>
      <c r="D2" s="45"/>
      <c r="E2" s="45"/>
      <c r="F2" s="45"/>
      <c r="G2" s="45"/>
    </row>
    <row r="3" spans="1:8" ht="31" x14ac:dyDescent="0.35">
      <c r="B3" s="17" t="s">
        <v>23</v>
      </c>
      <c r="C3" s="46"/>
      <c r="D3" s="46"/>
      <c r="E3" s="46"/>
      <c r="F3" s="46"/>
      <c r="G3" s="46"/>
    </row>
    <row r="4" spans="1:8" ht="31" x14ac:dyDescent="0.35">
      <c r="B4" s="17" t="s">
        <v>24</v>
      </c>
      <c r="C4" s="46"/>
      <c r="D4" s="46"/>
      <c r="E4" s="46"/>
      <c r="F4" s="46"/>
      <c r="G4" s="46"/>
    </row>
    <row r="5" spans="1:8" ht="32" thickBot="1" x14ac:dyDescent="0.4">
      <c r="B5" s="18" t="s">
        <v>25</v>
      </c>
      <c r="C5" s="47"/>
      <c r="D5" s="47"/>
      <c r="E5" s="47"/>
      <c r="F5" s="47"/>
      <c r="G5" s="47"/>
    </row>
    <row r="6" spans="1:8" ht="31" x14ac:dyDescent="0.35">
      <c r="B6" s="16" t="s">
        <v>50</v>
      </c>
      <c r="C6" s="45"/>
      <c r="D6" s="45"/>
      <c r="E6" s="45"/>
      <c r="F6" s="45"/>
      <c r="G6" s="45"/>
    </row>
    <row r="7" spans="1:8" ht="31" x14ac:dyDescent="0.35">
      <c r="B7" s="17" t="s">
        <v>19</v>
      </c>
      <c r="C7" s="48"/>
      <c r="D7" s="48"/>
      <c r="E7" s="48"/>
      <c r="F7" s="48"/>
      <c r="G7" s="48"/>
    </row>
    <row r="8" spans="1:8" ht="32" thickBot="1" x14ac:dyDescent="0.4">
      <c r="B8" s="17" t="s">
        <v>64</v>
      </c>
      <c r="C8" s="49"/>
      <c r="D8" s="49"/>
      <c r="E8" s="49"/>
      <c r="F8" s="49"/>
      <c r="G8" s="49"/>
    </row>
    <row r="9" spans="1:8" ht="31" x14ac:dyDescent="0.35">
      <c r="B9" s="16" t="s">
        <v>22</v>
      </c>
      <c r="C9" s="45"/>
      <c r="D9" s="45"/>
      <c r="E9" s="45"/>
      <c r="F9" s="45"/>
      <c r="G9" s="45"/>
    </row>
    <row r="10" spans="1:8" ht="31" x14ac:dyDescent="0.35">
      <c r="B10" s="17" t="s">
        <v>26</v>
      </c>
      <c r="C10" s="46"/>
      <c r="D10" s="46"/>
      <c r="E10" s="46"/>
      <c r="F10" s="46"/>
      <c r="G10" s="46"/>
    </row>
    <row r="11" spans="1:8" ht="32" thickBot="1" x14ac:dyDescent="0.4">
      <c r="B11" s="19" t="s">
        <v>27</v>
      </c>
      <c r="C11" s="50"/>
      <c r="D11" s="50"/>
      <c r="E11" s="50"/>
      <c r="F11" s="50"/>
      <c r="G11" s="50"/>
    </row>
    <row r="12" spans="1:8" ht="32" thickBot="1" x14ac:dyDescent="0.4">
      <c r="B12" s="104" t="s">
        <v>21</v>
      </c>
      <c r="C12" s="105"/>
      <c r="D12" s="105"/>
      <c r="E12" s="105"/>
      <c r="F12" s="105"/>
      <c r="G12" s="105"/>
    </row>
    <row r="13" spans="1:8" ht="31" x14ac:dyDescent="0.35">
      <c r="B13" s="106" t="s">
        <v>31</v>
      </c>
      <c r="C13" s="107"/>
      <c r="D13" s="107"/>
      <c r="E13" s="107"/>
      <c r="F13" s="107"/>
      <c r="G13" s="108"/>
    </row>
    <row r="14" spans="1:8" ht="31" x14ac:dyDescent="0.35">
      <c r="B14" s="17" t="s">
        <v>32</v>
      </c>
      <c r="C14" s="46"/>
      <c r="D14" s="46"/>
      <c r="E14" s="46"/>
      <c r="F14" s="46"/>
      <c r="G14" s="109"/>
    </row>
    <row r="15" spans="1:8" ht="32" thickBot="1" x14ac:dyDescent="0.4">
      <c r="B15" s="19" t="s">
        <v>65</v>
      </c>
      <c r="C15" s="50"/>
      <c r="D15" s="50"/>
      <c r="E15" s="50"/>
      <c r="F15" s="50"/>
      <c r="G15" s="110"/>
    </row>
    <row r="16" spans="1:8" ht="31" x14ac:dyDescent="0.35">
      <c r="B16" s="111" t="s">
        <v>66</v>
      </c>
      <c r="C16" s="102"/>
      <c r="D16" s="102"/>
      <c r="E16" s="102"/>
      <c r="F16" s="102"/>
      <c r="G16" s="103"/>
    </row>
    <row r="17" spans="2:7" ht="31" x14ac:dyDescent="0.35">
      <c r="B17" s="112" t="s">
        <v>67</v>
      </c>
      <c r="C17" s="98"/>
      <c r="D17" s="98"/>
      <c r="E17" s="98"/>
      <c r="F17" s="98"/>
      <c r="G17" s="99"/>
    </row>
    <row r="18" spans="2:7" ht="31" x14ac:dyDescent="0.35">
      <c r="B18" s="113" t="s">
        <v>68</v>
      </c>
      <c r="C18" s="98"/>
      <c r="D18" s="98"/>
      <c r="E18" s="98"/>
      <c r="F18" s="98"/>
      <c r="G18" s="99"/>
    </row>
    <row r="19" spans="2:7" ht="32" thickBot="1" x14ac:dyDescent="0.4">
      <c r="B19" s="114" t="s">
        <v>69</v>
      </c>
      <c r="C19" s="100"/>
      <c r="D19" s="100"/>
      <c r="E19" s="100"/>
      <c r="F19" s="100"/>
      <c r="G19" s="101"/>
    </row>
    <row r="20" spans="2:7" ht="31" x14ac:dyDescent="0.35">
      <c r="B20" s="52" t="s">
        <v>33</v>
      </c>
      <c r="C20" s="53"/>
      <c r="D20" s="53"/>
      <c r="E20" s="53"/>
      <c r="F20" s="53"/>
      <c r="G20" s="53"/>
    </row>
    <row r="21" spans="2:7" ht="31" x14ac:dyDescent="0.35">
      <c r="B21" s="17" t="s">
        <v>70</v>
      </c>
      <c r="C21" s="46"/>
      <c r="D21" s="46"/>
      <c r="E21" s="46"/>
      <c r="F21" s="46"/>
      <c r="G21" s="46"/>
    </row>
    <row r="22" spans="2:7" ht="32" thickBot="1" x14ac:dyDescent="0.4">
      <c r="B22" s="19" t="s">
        <v>71</v>
      </c>
      <c r="C22" s="50"/>
      <c r="D22" s="50"/>
      <c r="E22" s="50"/>
      <c r="F22" s="50"/>
      <c r="G22" s="50"/>
    </row>
    <row r="23" spans="2:7" ht="31" x14ac:dyDescent="0.35">
      <c r="B23" s="54" t="s">
        <v>30</v>
      </c>
      <c r="C23" s="55"/>
      <c r="D23" s="55"/>
      <c r="E23" s="55"/>
      <c r="F23" s="55"/>
      <c r="G23" s="55"/>
    </row>
  </sheetData>
  <hyperlinks>
    <hyperlink ref="A1" location="Navigation!A1" display="Home" xr:uid="{00000000-0004-0000-1600-000000000000}"/>
    <hyperlink ref="H1" location="Recommendations!A1" display="Recommendations" xr:uid="{00000000-0004-0000-1600-000001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23"/>
  <sheetViews>
    <sheetView zoomScale="80" zoomScaleNormal="80" workbookViewId="0">
      <pane xSplit="2" ySplit="1" topLeftCell="C2" activePane="bottomRight" state="frozen"/>
      <selection activeCell="B21" sqref="B21"/>
      <selection pane="topRight" activeCell="B21" sqref="B21"/>
      <selection pane="bottomLeft" activeCell="B21" sqref="B21"/>
      <selection pane="bottomRight"/>
    </sheetView>
  </sheetViews>
  <sheetFormatPr baseColWidth="10" defaultColWidth="11" defaultRowHeight="33" customHeight="1" x14ac:dyDescent="0.25"/>
  <cols>
    <col min="2" max="2" width="49.5" style="1" customWidth="1"/>
    <col min="3" max="7" width="27.83203125" customWidth="1"/>
    <col min="8" max="8" width="25" customWidth="1"/>
    <col min="9" max="9" width="6" bestFit="1" customWidth="1"/>
    <col min="10" max="10" width="19" bestFit="1" customWidth="1"/>
    <col min="11" max="11" width="29.83203125" bestFit="1" customWidth="1"/>
  </cols>
  <sheetData>
    <row r="1" spans="1:13" ht="33" customHeight="1" thickBot="1" x14ac:dyDescent="0.3">
      <c r="A1" s="82" t="s">
        <v>57</v>
      </c>
      <c r="B1" s="20" t="s">
        <v>17</v>
      </c>
      <c r="C1" s="13" t="s">
        <v>34</v>
      </c>
      <c r="D1" s="13" t="s">
        <v>35</v>
      </c>
      <c r="E1" s="13" t="s">
        <v>36</v>
      </c>
      <c r="F1" s="13" t="s">
        <v>37</v>
      </c>
      <c r="G1" s="13" t="s">
        <v>38</v>
      </c>
      <c r="H1" s="147" t="s">
        <v>82</v>
      </c>
    </row>
    <row r="2" spans="1:13" ht="33" customHeight="1" x14ac:dyDescent="0.35">
      <c r="B2" s="16" t="s">
        <v>18</v>
      </c>
      <c r="C2" s="45"/>
      <c r="D2" s="45"/>
      <c r="E2" s="45"/>
      <c r="F2" s="45"/>
      <c r="G2" s="45">
        <v>452</v>
      </c>
      <c r="I2" s="13"/>
      <c r="J2" s="13"/>
      <c r="K2" s="146"/>
      <c r="L2" s="145"/>
      <c r="M2" s="145"/>
    </row>
    <row r="3" spans="1:13" ht="33" customHeight="1" x14ac:dyDescent="0.35">
      <c r="B3" s="17" t="s">
        <v>23</v>
      </c>
      <c r="C3" s="46"/>
      <c r="D3" s="46"/>
      <c r="E3" s="46"/>
      <c r="F3" s="46"/>
      <c r="G3" s="46">
        <v>368</v>
      </c>
    </row>
    <row r="4" spans="1:13" ht="33" customHeight="1" x14ac:dyDescent="0.35">
      <c r="B4" s="17" t="s">
        <v>24</v>
      </c>
      <c r="C4" s="46"/>
      <c r="D4" s="46"/>
      <c r="E4" s="46"/>
      <c r="F4" s="46"/>
      <c r="G4" s="46">
        <v>1</v>
      </c>
    </row>
    <row r="5" spans="1:13" ht="33" customHeight="1" thickBot="1" x14ac:dyDescent="0.4">
      <c r="B5" s="18" t="s">
        <v>25</v>
      </c>
      <c r="C5" s="47"/>
      <c r="D5" s="47"/>
      <c r="E5" s="47"/>
      <c r="F5" s="47"/>
      <c r="G5" s="47">
        <v>83</v>
      </c>
    </row>
    <row r="6" spans="1:13" ht="33" customHeight="1" x14ac:dyDescent="0.35">
      <c r="B6" s="16" t="s">
        <v>50</v>
      </c>
      <c r="C6" s="45"/>
      <c r="D6" s="45"/>
      <c r="E6" s="45"/>
      <c r="F6" s="45"/>
      <c r="G6" s="45">
        <v>447</v>
      </c>
    </row>
    <row r="7" spans="1:13" ht="33" customHeight="1" x14ac:dyDescent="0.35">
      <c r="B7" s="17" t="s">
        <v>19</v>
      </c>
      <c r="C7" s="48"/>
      <c r="D7" s="48"/>
      <c r="E7" s="48"/>
      <c r="F7" s="48"/>
      <c r="G7" s="48">
        <v>429</v>
      </c>
    </row>
    <row r="8" spans="1:13" ht="33" customHeight="1" thickBot="1" x14ac:dyDescent="0.4">
      <c r="B8" s="17" t="s">
        <v>64</v>
      </c>
      <c r="C8" s="49"/>
      <c r="D8" s="49"/>
      <c r="E8" s="49"/>
      <c r="F8" s="49"/>
      <c r="G8" s="49">
        <v>10</v>
      </c>
    </row>
    <row r="9" spans="1:13" ht="33" customHeight="1" x14ac:dyDescent="0.35">
      <c r="B9" s="16" t="s">
        <v>22</v>
      </c>
      <c r="C9" s="45"/>
      <c r="D9" s="45"/>
      <c r="E9" s="45"/>
      <c r="F9" s="45"/>
      <c r="G9" s="45">
        <v>8</v>
      </c>
    </row>
    <row r="10" spans="1:13" ht="33" customHeight="1" x14ac:dyDescent="0.35">
      <c r="B10" s="17" t="s">
        <v>26</v>
      </c>
      <c r="C10" s="46"/>
      <c r="D10" s="46"/>
      <c r="E10" s="46"/>
      <c r="F10" s="46"/>
      <c r="G10" s="46">
        <v>4</v>
      </c>
    </row>
    <row r="11" spans="1:13" ht="33" customHeight="1" thickBot="1" x14ac:dyDescent="0.4">
      <c r="B11" s="19" t="s">
        <v>27</v>
      </c>
      <c r="C11" s="50"/>
      <c r="D11" s="50"/>
      <c r="E11" s="50"/>
      <c r="F11" s="50"/>
      <c r="G11" s="50">
        <v>4</v>
      </c>
    </row>
    <row r="12" spans="1:13" ht="33" customHeight="1" thickBot="1" x14ac:dyDescent="0.4">
      <c r="B12" s="104" t="s">
        <v>21</v>
      </c>
      <c r="C12" s="105"/>
      <c r="D12" s="105"/>
      <c r="E12" s="105"/>
      <c r="F12" s="105"/>
      <c r="G12" s="105">
        <v>439</v>
      </c>
    </row>
    <row r="13" spans="1:13" ht="33" customHeight="1" x14ac:dyDescent="0.35">
      <c r="B13" s="106" t="s">
        <v>31</v>
      </c>
      <c r="C13" s="107"/>
      <c r="D13" s="107"/>
      <c r="E13" s="107"/>
      <c r="F13" s="107"/>
      <c r="G13" s="108"/>
    </row>
    <row r="14" spans="1:13" ht="33" customHeight="1" x14ac:dyDescent="0.35">
      <c r="B14" s="17" t="s">
        <v>32</v>
      </c>
      <c r="C14" s="46"/>
      <c r="D14" s="46"/>
      <c r="E14" s="46"/>
      <c r="F14" s="46"/>
      <c r="G14" s="109"/>
    </row>
    <row r="15" spans="1:13" ht="33" customHeight="1" thickBot="1" x14ac:dyDescent="0.4">
      <c r="B15" s="19" t="s">
        <v>65</v>
      </c>
      <c r="C15" s="50"/>
      <c r="D15" s="50"/>
      <c r="E15" s="50"/>
      <c r="F15" s="50"/>
      <c r="G15" s="110"/>
    </row>
    <row r="16" spans="1:13" ht="33" customHeight="1" x14ac:dyDescent="0.35">
      <c r="B16" s="111" t="s">
        <v>66</v>
      </c>
      <c r="C16" s="102"/>
      <c r="D16" s="102"/>
      <c r="E16" s="102"/>
      <c r="F16" s="102"/>
      <c r="G16" s="103">
        <v>410</v>
      </c>
    </row>
    <row r="17" spans="2:7" ht="33" customHeight="1" x14ac:dyDescent="0.35">
      <c r="B17" s="112" t="s">
        <v>67</v>
      </c>
      <c r="C17" s="98"/>
      <c r="D17" s="98"/>
      <c r="E17" s="98"/>
      <c r="F17" s="98"/>
      <c r="G17" s="99">
        <v>29</v>
      </c>
    </row>
    <row r="18" spans="2:7" ht="33" customHeight="1" x14ac:dyDescent="0.35">
      <c r="B18" s="113" t="s">
        <v>68</v>
      </c>
      <c r="C18" s="98"/>
      <c r="D18" s="98"/>
      <c r="E18" s="98"/>
      <c r="F18" s="98"/>
      <c r="G18" s="99"/>
    </row>
    <row r="19" spans="2:7" ht="33" customHeight="1" thickBot="1" x14ac:dyDescent="0.4">
      <c r="B19" s="114" t="s">
        <v>69</v>
      </c>
      <c r="C19" s="100"/>
      <c r="D19" s="100"/>
      <c r="E19" s="100"/>
      <c r="F19" s="100"/>
      <c r="G19" s="101"/>
    </row>
    <row r="20" spans="2:7" ht="33" customHeight="1" x14ac:dyDescent="0.35">
      <c r="B20" s="52" t="s">
        <v>33</v>
      </c>
      <c r="C20" s="53"/>
      <c r="D20" s="53"/>
      <c r="E20" s="53"/>
      <c r="F20" s="53"/>
      <c r="G20" s="53">
        <v>5</v>
      </c>
    </row>
    <row r="21" spans="2:7" ht="33" customHeight="1" x14ac:dyDescent="0.35">
      <c r="B21" s="17" t="s">
        <v>70</v>
      </c>
      <c r="C21" s="46"/>
      <c r="D21" s="46"/>
      <c r="E21" s="46"/>
      <c r="F21" s="46"/>
      <c r="G21" s="46">
        <v>3</v>
      </c>
    </row>
    <row r="22" spans="2:7" ht="33" customHeight="1" thickBot="1" x14ac:dyDescent="0.4">
      <c r="B22" s="19" t="s">
        <v>71</v>
      </c>
      <c r="C22" s="50"/>
      <c r="D22" s="50"/>
      <c r="E22" s="50"/>
      <c r="F22" s="50"/>
      <c r="G22" s="50">
        <v>2</v>
      </c>
    </row>
    <row r="23" spans="2:7" ht="33" customHeight="1" x14ac:dyDescent="0.35">
      <c r="B23" s="54" t="s">
        <v>30</v>
      </c>
      <c r="C23" s="55"/>
      <c r="D23" s="55"/>
      <c r="E23" s="55"/>
      <c r="F23" s="55"/>
      <c r="G23" s="55">
        <v>0</v>
      </c>
    </row>
  </sheetData>
  <hyperlinks>
    <hyperlink ref="A1" location="Navigation!A1" display="Home" xr:uid="{00000000-0004-0000-1700-000000000000}"/>
    <hyperlink ref="H1" location="Recommendations!A1" display="Recommendations" xr:uid="{00000000-0004-0000-1700-000001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3"/>
  <sheetViews>
    <sheetView zoomScale="80" zoomScaleNormal="80" workbookViewId="0">
      <pane xSplit="2" ySplit="1" topLeftCell="C2" activePane="bottomRight" state="frozen"/>
      <selection activeCell="B21" sqref="B21"/>
      <selection pane="topRight" activeCell="B21" sqref="B21"/>
      <selection pane="bottomLeft" activeCell="B21" sqref="B21"/>
      <selection pane="bottomRight" activeCell="G2" sqref="G2:G23"/>
    </sheetView>
  </sheetViews>
  <sheetFormatPr baseColWidth="10" defaultColWidth="11" defaultRowHeight="34" customHeight="1" x14ac:dyDescent="0.2"/>
  <cols>
    <col min="2" max="2" width="50.33203125" bestFit="1" customWidth="1"/>
    <col min="3" max="6" width="27.83203125" customWidth="1"/>
    <col min="7" max="7" width="19.33203125" customWidth="1"/>
    <col min="8" max="8" width="25.5" bestFit="1" customWidth="1"/>
  </cols>
  <sheetData>
    <row r="1" spans="1:8" ht="34" customHeight="1" thickBot="1" x14ac:dyDescent="0.3">
      <c r="A1" s="80" t="s">
        <v>57</v>
      </c>
      <c r="B1" s="20" t="s">
        <v>17</v>
      </c>
      <c r="C1" s="13" t="s">
        <v>34</v>
      </c>
      <c r="D1" s="13" t="s">
        <v>35</v>
      </c>
      <c r="E1" s="13" t="s">
        <v>36</v>
      </c>
      <c r="F1" s="13" t="s">
        <v>37</v>
      </c>
      <c r="G1" s="13" t="s">
        <v>38</v>
      </c>
      <c r="H1" s="147" t="s">
        <v>82</v>
      </c>
    </row>
    <row r="2" spans="1:8" ht="34" customHeight="1" x14ac:dyDescent="0.35">
      <c r="B2" s="16" t="s">
        <v>18</v>
      </c>
      <c r="C2" s="45"/>
      <c r="D2" s="45"/>
      <c r="E2" s="45"/>
      <c r="F2" s="45"/>
      <c r="G2" s="45">
        <v>377</v>
      </c>
    </row>
    <row r="3" spans="1:8" ht="34" customHeight="1" x14ac:dyDescent="0.35">
      <c r="B3" s="17" t="s">
        <v>23</v>
      </c>
      <c r="C3" s="46"/>
      <c r="D3" s="46"/>
      <c r="E3" s="46"/>
      <c r="F3" s="46"/>
      <c r="G3" s="46">
        <v>313</v>
      </c>
    </row>
    <row r="4" spans="1:8" ht="34" customHeight="1" x14ac:dyDescent="0.35">
      <c r="B4" s="17" t="s">
        <v>24</v>
      </c>
      <c r="C4" s="46"/>
      <c r="D4" s="46"/>
      <c r="E4" s="46"/>
      <c r="F4" s="46"/>
      <c r="G4" s="46">
        <v>6</v>
      </c>
    </row>
    <row r="5" spans="1:8" ht="34" customHeight="1" thickBot="1" x14ac:dyDescent="0.4">
      <c r="B5" s="18" t="s">
        <v>25</v>
      </c>
      <c r="C5" s="47"/>
      <c r="D5" s="47"/>
      <c r="E5" s="47"/>
      <c r="F5" s="47"/>
      <c r="G5" s="47">
        <v>58</v>
      </c>
    </row>
    <row r="6" spans="1:8" ht="34" customHeight="1" x14ac:dyDescent="0.35">
      <c r="B6" s="16" t="s">
        <v>50</v>
      </c>
      <c r="C6" s="45"/>
      <c r="D6" s="45"/>
      <c r="E6" s="45"/>
      <c r="F6" s="45"/>
      <c r="G6" s="45">
        <v>384</v>
      </c>
    </row>
    <row r="7" spans="1:8" ht="34" customHeight="1" x14ac:dyDescent="0.35">
      <c r="B7" s="17" t="s">
        <v>19</v>
      </c>
      <c r="C7" s="48"/>
      <c r="D7" s="48"/>
      <c r="E7" s="48"/>
      <c r="F7" s="48"/>
      <c r="G7" s="48">
        <v>370</v>
      </c>
    </row>
    <row r="8" spans="1:8" ht="34" customHeight="1" thickBot="1" x14ac:dyDescent="0.4">
      <c r="B8" s="17" t="s">
        <v>64</v>
      </c>
      <c r="C8" s="49"/>
      <c r="D8" s="49"/>
      <c r="E8" s="49"/>
      <c r="F8" s="49"/>
      <c r="G8" s="49">
        <v>7</v>
      </c>
    </row>
    <row r="9" spans="1:8" ht="34" customHeight="1" x14ac:dyDescent="0.35">
      <c r="B9" s="16" t="s">
        <v>22</v>
      </c>
      <c r="C9" s="45"/>
      <c r="D9" s="45"/>
      <c r="E9" s="45"/>
      <c r="F9" s="45"/>
      <c r="G9" s="45">
        <v>10</v>
      </c>
    </row>
    <row r="10" spans="1:8" ht="34" customHeight="1" x14ac:dyDescent="0.35">
      <c r="B10" s="17" t="s">
        <v>26</v>
      </c>
      <c r="C10" s="46"/>
      <c r="D10" s="46"/>
      <c r="E10" s="46"/>
      <c r="F10" s="46"/>
      <c r="G10" s="46">
        <v>6</v>
      </c>
    </row>
    <row r="11" spans="1:8" ht="34" customHeight="1" thickBot="1" x14ac:dyDescent="0.4">
      <c r="B11" s="19" t="s">
        <v>27</v>
      </c>
      <c r="C11" s="50"/>
      <c r="D11" s="50"/>
      <c r="E11" s="50"/>
      <c r="F11" s="50"/>
      <c r="G11" s="50">
        <v>4</v>
      </c>
    </row>
    <row r="12" spans="1:8" ht="34" customHeight="1" thickBot="1" x14ac:dyDescent="0.4">
      <c r="B12" s="104" t="s">
        <v>21</v>
      </c>
      <c r="C12" s="105"/>
      <c r="D12" s="105"/>
      <c r="E12" s="105"/>
      <c r="F12" s="105"/>
      <c r="G12" s="105">
        <v>374</v>
      </c>
    </row>
    <row r="13" spans="1:8" ht="34" customHeight="1" x14ac:dyDescent="0.35">
      <c r="B13" s="106" t="s">
        <v>31</v>
      </c>
      <c r="C13" s="107"/>
      <c r="D13" s="108"/>
      <c r="E13" s="107"/>
      <c r="F13" s="107"/>
      <c r="G13" s="108"/>
    </row>
    <row r="14" spans="1:8" ht="34" customHeight="1" x14ac:dyDescent="0.35">
      <c r="B14" s="17" t="s">
        <v>32</v>
      </c>
      <c r="C14" s="46"/>
      <c r="D14" s="109"/>
      <c r="E14" s="46"/>
      <c r="F14" s="46"/>
      <c r="G14" s="109"/>
    </row>
    <row r="15" spans="1:8" ht="34" customHeight="1" thickBot="1" x14ac:dyDescent="0.4">
      <c r="B15" s="19" t="s">
        <v>65</v>
      </c>
      <c r="C15" s="50"/>
      <c r="D15" s="110"/>
      <c r="E15" s="50"/>
      <c r="F15" s="50"/>
      <c r="G15" s="110"/>
    </row>
    <row r="16" spans="1:8" ht="34" customHeight="1" x14ac:dyDescent="0.35">
      <c r="B16" s="111" t="s">
        <v>66</v>
      </c>
      <c r="C16" s="102"/>
      <c r="D16" s="103"/>
      <c r="E16" s="102"/>
      <c r="F16" s="102"/>
      <c r="G16" s="103">
        <v>333</v>
      </c>
    </row>
    <row r="17" spans="2:7" ht="34" customHeight="1" x14ac:dyDescent="0.35">
      <c r="B17" s="112" t="s">
        <v>67</v>
      </c>
      <c r="C17" s="98"/>
      <c r="D17" s="99"/>
      <c r="E17" s="98"/>
      <c r="F17" s="98"/>
      <c r="G17" s="99">
        <v>41</v>
      </c>
    </row>
    <row r="18" spans="2:7" ht="34" customHeight="1" x14ac:dyDescent="0.35">
      <c r="B18" s="113" t="s">
        <v>68</v>
      </c>
      <c r="C18" s="98"/>
      <c r="D18" s="99"/>
      <c r="E18" s="98"/>
      <c r="F18" s="98"/>
      <c r="G18" s="99"/>
    </row>
    <row r="19" spans="2:7" ht="34" customHeight="1" thickBot="1" x14ac:dyDescent="0.4">
      <c r="B19" s="114" t="s">
        <v>69</v>
      </c>
      <c r="C19" s="100"/>
      <c r="D19" s="101"/>
      <c r="E19" s="100"/>
      <c r="F19" s="100"/>
      <c r="G19" s="101"/>
    </row>
    <row r="20" spans="2:7" ht="34" customHeight="1" x14ac:dyDescent="0.35">
      <c r="B20" s="52" t="s">
        <v>33</v>
      </c>
      <c r="C20" s="53"/>
      <c r="D20" s="53"/>
      <c r="E20" s="53"/>
      <c r="F20" s="53"/>
      <c r="G20" s="53">
        <v>7</v>
      </c>
    </row>
    <row r="21" spans="2:7" ht="34" customHeight="1" x14ac:dyDescent="0.35">
      <c r="B21" s="17" t="s">
        <v>70</v>
      </c>
      <c r="C21" s="46"/>
      <c r="D21" s="46"/>
      <c r="E21" s="46"/>
      <c r="F21" s="46"/>
      <c r="G21" s="46">
        <v>6</v>
      </c>
    </row>
    <row r="22" spans="2:7" ht="34" customHeight="1" thickBot="1" x14ac:dyDescent="0.4">
      <c r="B22" s="19" t="s">
        <v>71</v>
      </c>
      <c r="C22" s="50"/>
      <c r="D22" s="50"/>
      <c r="E22" s="50"/>
      <c r="F22" s="50"/>
      <c r="G22" s="50">
        <v>1</v>
      </c>
    </row>
    <row r="23" spans="2:7" ht="34" customHeight="1" x14ac:dyDescent="0.35">
      <c r="B23" s="54" t="s">
        <v>30</v>
      </c>
      <c r="C23" s="55"/>
      <c r="D23" s="55"/>
      <c r="E23" s="55"/>
      <c r="F23" s="55"/>
      <c r="G23" s="55">
        <v>2</v>
      </c>
    </row>
  </sheetData>
  <phoneticPr fontId="37" type="noConversion"/>
  <hyperlinks>
    <hyperlink ref="A1" location="Navigation!A1" display="Home" xr:uid="{00000000-0004-0000-1800-000000000000}"/>
    <hyperlink ref="H1" location="Recommendations!A1" display="Recommendations" xr:uid="{00000000-0004-0000-1800-000001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23"/>
  <sheetViews>
    <sheetView zoomScale="80" zoomScaleNormal="80" workbookViewId="0">
      <pane xSplit="2" ySplit="1" topLeftCell="C2" activePane="bottomRight" state="frozen"/>
      <selection activeCell="B21" sqref="B21"/>
      <selection pane="topRight" activeCell="B21" sqref="B21"/>
      <selection pane="bottomLeft" activeCell="B21" sqref="B21"/>
      <selection pane="bottomRight"/>
    </sheetView>
  </sheetViews>
  <sheetFormatPr baseColWidth="10" defaultColWidth="11" defaultRowHeight="33" customHeight="1" x14ac:dyDescent="0.2"/>
  <cols>
    <col min="2" max="2" width="50.33203125" bestFit="1" customWidth="1"/>
    <col min="3" max="7" width="27" customWidth="1"/>
    <col min="8" max="8" width="26.83203125" customWidth="1"/>
  </cols>
  <sheetData>
    <row r="1" spans="1:8" ht="33" customHeight="1" thickBot="1" x14ac:dyDescent="0.3">
      <c r="A1" s="82" t="s">
        <v>57</v>
      </c>
      <c r="B1" s="20" t="s">
        <v>17</v>
      </c>
      <c r="C1" s="13" t="s">
        <v>34</v>
      </c>
      <c r="D1" s="13" t="s">
        <v>35</v>
      </c>
      <c r="E1" s="13" t="s">
        <v>36</v>
      </c>
      <c r="F1" s="13" t="s">
        <v>37</v>
      </c>
      <c r="G1" s="13" t="s">
        <v>38</v>
      </c>
      <c r="H1" s="147" t="s">
        <v>82</v>
      </c>
    </row>
    <row r="2" spans="1:8" ht="33" customHeight="1" x14ac:dyDescent="0.35">
      <c r="B2" s="34" t="s">
        <v>18</v>
      </c>
      <c r="C2" s="51"/>
      <c r="D2" s="51"/>
      <c r="E2" s="51"/>
      <c r="F2" s="51"/>
      <c r="G2" s="45">
        <v>445</v>
      </c>
    </row>
    <row r="3" spans="1:8" ht="33" customHeight="1" x14ac:dyDescent="0.35">
      <c r="B3" s="115" t="s">
        <v>23</v>
      </c>
      <c r="C3" s="116"/>
      <c r="D3" s="116"/>
      <c r="E3" s="116"/>
      <c r="F3" s="116"/>
      <c r="G3" s="46">
        <v>357</v>
      </c>
    </row>
    <row r="4" spans="1:8" ht="33" customHeight="1" x14ac:dyDescent="0.35">
      <c r="B4" s="115" t="s">
        <v>24</v>
      </c>
      <c r="C4" s="116"/>
      <c r="D4" s="116"/>
      <c r="E4" s="116"/>
      <c r="F4" s="116"/>
      <c r="G4" s="46">
        <v>1</v>
      </c>
    </row>
    <row r="5" spans="1:8" ht="33" customHeight="1" thickBot="1" x14ac:dyDescent="0.4">
      <c r="B5" s="117" t="s">
        <v>25</v>
      </c>
      <c r="C5" s="118"/>
      <c r="D5" s="118"/>
      <c r="E5" s="118"/>
      <c r="F5" s="118"/>
      <c r="G5" s="47">
        <v>87</v>
      </c>
    </row>
    <row r="6" spans="1:8" ht="33" customHeight="1" x14ac:dyDescent="0.35">
      <c r="B6" s="34" t="s">
        <v>50</v>
      </c>
      <c r="C6" s="51"/>
      <c r="D6" s="51"/>
      <c r="E6" s="51"/>
      <c r="F6" s="51"/>
      <c r="G6" s="45">
        <v>450</v>
      </c>
    </row>
    <row r="7" spans="1:8" ht="33" customHeight="1" x14ac:dyDescent="0.35">
      <c r="B7" s="115" t="s">
        <v>19</v>
      </c>
      <c r="C7" s="119"/>
      <c r="D7" s="119"/>
      <c r="E7" s="119"/>
      <c r="F7" s="119"/>
      <c r="G7" s="48">
        <v>438</v>
      </c>
    </row>
    <row r="8" spans="1:8" ht="33" customHeight="1" thickBot="1" x14ac:dyDescent="0.4">
      <c r="B8" s="115" t="s">
        <v>64</v>
      </c>
      <c r="C8" s="120"/>
      <c r="D8" s="120"/>
      <c r="E8" s="120"/>
      <c r="F8" s="120"/>
      <c r="G8" s="49">
        <v>7</v>
      </c>
    </row>
    <row r="9" spans="1:8" ht="33" customHeight="1" x14ac:dyDescent="0.35">
      <c r="B9" s="34" t="s">
        <v>22</v>
      </c>
      <c r="C9" s="51"/>
      <c r="D9" s="51"/>
      <c r="E9" s="51"/>
      <c r="F9" s="51"/>
      <c r="G9" s="45">
        <v>11</v>
      </c>
    </row>
    <row r="10" spans="1:8" ht="33" customHeight="1" x14ac:dyDescent="0.35">
      <c r="B10" s="115" t="s">
        <v>26</v>
      </c>
      <c r="C10" s="116"/>
      <c r="D10" s="116"/>
      <c r="E10" s="116"/>
      <c r="F10" s="116"/>
      <c r="G10" s="46">
        <v>5</v>
      </c>
    </row>
    <row r="11" spans="1:8" ht="33" customHeight="1" thickBot="1" x14ac:dyDescent="0.4">
      <c r="B11" s="121" t="s">
        <v>27</v>
      </c>
      <c r="C11" s="122"/>
      <c r="D11" s="122"/>
      <c r="E11" s="122"/>
      <c r="F11" s="122"/>
      <c r="G11" s="50">
        <v>6</v>
      </c>
    </row>
    <row r="12" spans="1:8" ht="33" customHeight="1" thickBot="1" x14ac:dyDescent="0.4">
      <c r="B12" s="123" t="s">
        <v>21</v>
      </c>
      <c r="C12" s="124"/>
      <c r="D12" s="124"/>
      <c r="E12" s="124"/>
      <c r="F12" s="124"/>
      <c r="G12" s="105">
        <v>441</v>
      </c>
    </row>
    <row r="13" spans="1:8" ht="33" customHeight="1" x14ac:dyDescent="0.35">
      <c r="B13" s="106" t="s">
        <v>31</v>
      </c>
      <c r="C13" s="125"/>
      <c r="D13" s="125"/>
      <c r="E13" s="125"/>
      <c r="F13" s="125"/>
      <c r="G13" s="108"/>
    </row>
    <row r="14" spans="1:8" ht="33" customHeight="1" x14ac:dyDescent="0.35">
      <c r="B14" s="115" t="s">
        <v>32</v>
      </c>
      <c r="C14" s="116"/>
      <c r="D14" s="116"/>
      <c r="E14" s="116"/>
      <c r="F14" s="116"/>
      <c r="G14" s="109"/>
    </row>
    <row r="15" spans="1:8" ht="33" customHeight="1" thickBot="1" x14ac:dyDescent="0.4">
      <c r="B15" s="121" t="s">
        <v>65</v>
      </c>
      <c r="C15" s="122"/>
      <c r="D15" s="122"/>
      <c r="E15" s="122"/>
      <c r="F15" s="122"/>
      <c r="G15" s="110"/>
    </row>
    <row r="16" spans="1:8" ht="33" customHeight="1" x14ac:dyDescent="0.35">
      <c r="B16" s="126" t="s">
        <v>66</v>
      </c>
      <c r="C16" s="116"/>
      <c r="D16" s="116"/>
      <c r="E16" s="116"/>
      <c r="F16" s="116"/>
      <c r="G16" s="103">
        <v>353</v>
      </c>
    </row>
    <row r="17" spans="2:7" ht="33" customHeight="1" x14ac:dyDescent="0.35">
      <c r="B17" s="127" t="s">
        <v>67</v>
      </c>
      <c r="C17" s="116"/>
      <c r="D17" s="116"/>
      <c r="E17" s="116"/>
      <c r="F17" s="116"/>
      <c r="G17" s="99">
        <v>63</v>
      </c>
    </row>
    <row r="18" spans="2:7" ht="33" customHeight="1" x14ac:dyDescent="0.35">
      <c r="B18" s="126" t="s">
        <v>68</v>
      </c>
      <c r="C18" s="116"/>
      <c r="D18" s="116"/>
      <c r="E18" s="116"/>
      <c r="F18" s="116"/>
      <c r="G18" s="99"/>
    </row>
    <row r="19" spans="2:7" ht="33" customHeight="1" thickBot="1" x14ac:dyDescent="0.4">
      <c r="B19" s="128" t="s">
        <v>72</v>
      </c>
      <c r="C19" s="122"/>
      <c r="D19" s="122"/>
      <c r="E19" s="122"/>
      <c r="F19" s="122"/>
      <c r="G19" s="101"/>
    </row>
    <row r="20" spans="2:7" ht="33" customHeight="1" x14ac:dyDescent="0.35">
      <c r="B20" s="129" t="s">
        <v>33</v>
      </c>
      <c r="C20" s="130"/>
      <c r="D20" s="130"/>
      <c r="E20" s="130"/>
      <c r="F20" s="130"/>
      <c r="G20" s="53">
        <v>8</v>
      </c>
    </row>
    <row r="21" spans="2:7" ht="33" customHeight="1" x14ac:dyDescent="0.35">
      <c r="B21" s="115" t="s">
        <v>70</v>
      </c>
      <c r="C21" s="116"/>
      <c r="D21" s="116"/>
      <c r="E21" s="116"/>
      <c r="F21" s="116"/>
      <c r="G21" s="46">
        <v>5</v>
      </c>
    </row>
    <row r="22" spans="2:7" ht="33" customHeight="1" thickBot="1" x14ac:dyDescent="0.4">
      <c r="B22" s="121" t="s">
        <v>71</v>
      </c>
      <c r="C22" s="122"/>
      <c r="D22" s="122"/>
      <c r="E22" s="122"/>
      <c r="F22" s="122"/>
      <c r="G22" s="50">
        <v>3</v>
      </c>
    </row>
    <row r="23" spans="2:7" ht="33" customHeight="1" x14ac:dyDescent="0.35">
      <c r="B23" s="131" t="s">
        <v>30</v>
      </c>
      <c r="C23" s="132"/>
      <c r="D23" s="132"/>
      <c r="E23" s="132"/>
      <c r="F23" s="132"/>
      <c r="G23" s="55">
        <v>2</v>
      </c>
    </row>
  </sheetData>
  <phoneticPr fontId="37" type="noConversion"/>
  <hyperlinks>
    <hyperlink ref="A1" location="Navigation!A1" display="Home" xr:uid="{00000000-0004-0000-1900-000000000000}"/>
    <hyperlink ref="H1" location="Recommendations!A1" display="Recommendations" xr:uid="{00000000-0004-0000-1900-000001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23"/>
  <sheetViews>
    <sheetView zoomScale="80" zoomScaleNormal="80" workbookViewId="0">
      <pane xSplit="2" ySplit="1" topLeftCell="C2" activePane="bottomRight" state="frozen"/>
      <selection activeCell="B21" sqref="B21"/>
      <selection pane="topRight" activeCell="B21" sqref="B21"/>
      <selection pane="bottomLeft" activeCell="B21" sqref="B21"/>
      <selection pane="bottomRight" activeCell="G2" sqref="G2:G23"/>
    </sheetView>
  </sheetViews>
  <sheetFormatPr baseColWidth="10" defaultColWidth="11" defaultRowHeight="34" customHeight="1" x14ac:dyDescent="0.2"/>
  <cols>
    <col min="2" max="2" width="50.33203125" bestFit="1" customWidth="1"/>
    <col min="3" max="7" width="27" customWidth="1"/>
    <col min="8" max="8" width="28.33203125" customWidth="1"/>
  </cols>
  <sheetData>
    <row r="1" spans="1:8" ht="34" customHeight="1" thickBot="1" x14ac:dyDescent="0.3">
      <c r="A1" s="83" t="s">
        <v>57</v>
      </c>
      <c r="B1" s="20" t="s">
        <v>17</v>
      </c>
      <c r="C1" s="13" t="s">
        <v>34</v>
      </c>
      <c r="D1" s="13" t="s">
        <v>35</v>
      </c>
      <c r="E1" s="13" t="s">
        <v>36</v>
      </c>
      <c r="F1" s="13" t="s">
        <v>37</v>
      </c>
      <c r="G1" s="13" t="s">
        <v>38</v>
      </c>
      <c r="H1" s="147" t="s">
        <v>82</v>
      </c>
    </row>
    <row r="2" spans="1:8" ht="34" customHeight="1" x14ac:dyDescent="0.35">
      <c r="B2" s="34" t="s">
        <v>18</v>
      </c>
      <c r="C2" s="51"/>
      <c r="D2" s="51"/>
      <c r="E2" s="51"/>
      <c r="F2" s="51"/>
      <c r="G2" s="45">
        <v>411</v>
      </c>
    </row>
    <row r="3" spans="1:8" ht="34" customHeight="1" x14ac:dyDescent="0.35">
      <c r="B3" s="115" t="s">
        <v>23</v>
      </c>
      <c r="C3" s="116"/>
      <c r="D3" s="116"/>
      <c r="E3" s="116"/>
      <c r="F3" s="116"/>
      <c r="G3" s="46">
        <v>321</v>
      </c>
    </row>
    <row r="4" spans="1:8" ht="34" customHeight="1" x14ac:dyDescent="0.35">
      <c r="B4" s="115" t="s">
        <v>24</v>
      </c>
      <c r="C4" s="116"/>
      <c r="D4" s="116"/>
      <c r="E4" s="116"/>
      <c r="F4" s="116"/>
      <c r="G4" s="46">
        <v>8</v>
      </c>
    </row>
    <row r="5" spans="1:8" ht="34" customHeight="1" thickBot="1" x14ac:dyDescent="0.4">
      <c r="B5" s="117" t="s">
        <v>25</v>
      </c>
      <c r="C5" s="118"/>
      <c r="D5" s="118"/>
      <c r="E5" s="118"/>
      <c r="F5" s="118"/>
      <c r="G5" s="47">
        <v>82</v>
      </c>
    </row>
    <row r="6" spans="1:8" ht="34" customHeight="1" x14ac:dyDescent="0.35">
      <c r="B6" s="34" t="s">
        <v>50</v>
      </c>
      <c r="C6" s="51"/>
      <c r="D6" s="51"/>
      <c r="E6" s="51"/>
      <c r="F6" s="51"/>
      <c r="G6" s="45">
        <v>420</v>
      </c>
    </row>
    <row r="7" spans="1:8" ht="34" customHeight="1" x14ac:dyDescent="0.35">
      <c r="B7" s="115" t="s">
        <v>19</v>
      </c>
      <c r="C7" s="119"/>
      <c r="D7" s="119"/>
      <c r="E7" s="119"/>
      <c r="F7" s="119"/>
      <c r="G7" s="48">
        <v>406</v>
      </c>
    </row>
    <row r="8" spans="1:8" ht="34" customHeight="1" thickBot="1" x14ac:dyDescent="0.4">
      <c r="B8" s="115" t="s">
        <v>64</v>
      </c>
      <c r="C8" s="120"/>
      <c r="D8" s="120"/>
      <c r="E8" s="120"/>
      <c r="F8" s="120"/>
      <c r="G8" s="49">
        <v>5</v>
      </c>
    </row>
    <row r="9" spans="1:8" ht="34" customHeight="1" x14ac:dyDescent="0.35">
      <c r="B9" s="34" t="s">
        <v>22</v>
      </c>
      <c r="C9" s="51"/>
      <c r="D9" s="51"/>
      <c r="E9" s="51"/>
      <c r="F9" s="51"/>
      <c r="G9" s="45">
        <v>4</v>
      </c>
    </row>
    <row r="10" spans="1:8" ht="34" customHeight="1" x14ac:dyDescent="0.35">
      <c r="B10" s="115" t="s">
        <v>26</v>
      </c>
      <c r="C10" s="116"/>
      <c r="D10" s="116"/>
      <c r="E10" s="116"/>
      <c r="F10" s="116"/>
      <c r="G10" s="46">
        <v>2</v>
      </c>
    </row>
    <row r="11" spans="1:8" ht="34" customHeight="1" thickBot="1" x14ac:dyDescent="0.4">
      <c r="B11" s="121" t="s">
        <v>27</v>
      </c>
      <c r="C11" s="122"/>
      <c r="D11" s="122"/>
      <c r="E11" s="122"/>
      <c r="F11" s="122"/>
      <c r="G11" s="50">
        <v>2</v>
      </c>
    </row>
    <row r="12" spans="1:8" ht="34" customHeight="1" thickBot="1" x14ac:dyDescent="0.4">
      <c r="B12" s="123" t="s">
        <v>21</v>
      </c>
      <c r="C12" s="124"/>
      <c r="D12" s="124"/>
      <c r="E12" s="124"/>
      <c r="F12" s="124"/>
      <c r="G12" s="105">
        <v>416</v>
      </c>
    </row>
    <row r="13" spans="1:8" ht="34" customHeight="1" x14ac:dyDescent="0.35">
      <c r="B13" s="106" t="s">
        <v>31</v>
      </c>
      <c r="C13" s="125"/>
      <c r="D13" s="125"/>
      <c r="E13" s="125"/>
      <c r="F13" s="125"/>
      <c r="G13" s="108"/>
    </row>
    <row r="14" spans="1:8" ht="34" customHeight="1" x14ac:dyDescent="0.35">
      <c r="B14" s="115" t="s">
        <v>32</v>
      </c>
      <c r="C14" s="116"/>
      <c r="D14" s="116"/>
      <c r="E14" s="116"/>
      <c r="F14" s="116"/>
      <c r="G14" s="109"/>
    </row>
    <row r="15" spans="1:8" ht="34" customHeight="1" thickBot="1" x14ac:dyDescent="0.4">
      <c r="B15" s="121" t="s">
        <v>65</v>
      </c>
      <c r="C15" s="122"/>
      <c r="D15" s="122"/>
      <c r="E15" s="122"/>
      <c r="F15" s="122"/>
      <c r="G15" s="110"/>
    </row>
    <row r="16" spans="1:8" ht="34" customHeight="1" x14ac:dyDescent="0.35">
      <c r="B16" s="126" t="s">
        <v>66</v>
      </c>
      <c r="C16" s="116"/>
      <c r="D16" s="116"/>
      <c r="E16" s="116"/>
      <c r="F16" s="116"/>
      <c r="G16" s="103">
        <v>398</v>
      </c>
    </row>
    <row r="17" spans="2:7" ht="34" customHeight="1" x14ac:dyDescent="0.35">
      <c r="B17" s="127" t="s">
        <v>67</v>
      </c>
      <c r="C17" s="116"/>
      <c r="D17" s="116"/>
      <c r="E17" s="116"/>
      <c r="F17" s="116"/>
      <c r="G17" s="99">
        <v>63</v>
      </c>
    </row>
    <row r="18" spans="2:7" ht="34" customHeight="1" x14ac:dyDescent="0.35">
      <c r="B18" s="126" t="s">
        <v>68</v>
      </c>
      <c r="C18" s="116"/>
      <c r="D18" s="116"/>
      <c r="E18" s="116"/>
      <c r="F18" s="116"/>
      <c r="G18" s="99"/>
    </row>
    <row r="19" spans="2:7" ht="34" customHeight="1" thickBot="1" x14ac:dyDescent="0.4">
      <c r="B19" s="128" t="s">
        <v>72</v>
      </c>
      <c r="C19" s="122"/>
      <c r="D19" s="122"/>
      <c r="E19" s="122"/>
      <c r="F19" s="122"/>
      <c r="G19" s="101"/>
    </row>
    <row r="20" spans="2:7" ht="34" customHeight="1" x14ac:dyDescent="0.35">
      <c r="B20" s="129" t="s">
        <v>33</v>
      </c>
      <c r="C20" s="130"/>
      <c r="D20" s="130"/>
      <c r="E20" s="130"/>
      <c r="F20" s="130"/>
      <c r="G20" s="53">
        <v>10</v>
      </c>
    </row>
    <row r="21" spans="2:7" ht="34" customHeight="1" x14ac:dyDescent="0.35">
      <c r="B21" s="115" t="s">
        <v>70</v>
      </c>
      <c r="C21" s="116"/>
      <c r="D21" s="116"/>
      <c r="E21" s="116"/>
      <c r="F21" s="116"/>
      <c r="G21" s="46">
        <v>7</v>
      </c>
    </row>
    <row r="22" spans="2:7" ht="34" customHeight="1" thickBot="1" x14ac:dyDescent="0.4">
      <c r="B22" s="121" t="s">
        <v>71</v>
      </c>
      <c r="C22" s="122"/>
      <c r="D22" s="122"/>
      <c r="E22" s="122"/>
      <c r="F22" s="122"/>
      <c r="G22" s="50">
        <v>3</v>
      </c>
    </row>
    <row r="23" spans="2:7" ht="34" customHeight="1" x14ac:dyDescent="0.35">
      <c r="B23" s="131" t="s">
        <v>30</v>
      </c>
      <c r="C23" s="132"/>
      <c r="D23" s="132"/>
      <c r="E23" s="132"/>
      <c r="F23" s="132"/>
      <c r="G23" s="55">
        <v>1</v>
      </c>
    </row>
  </sheetData>
  <phoneticPr fontId="37" type="noConversion"/>
  <hyperlinks>
    <hyperlink ref="A1" location="Navigation!A1" display="Home" xr:uid="{00000000-0004-0000-1A00-000000000000}"/>
    <hyperlink ref="H1" location="Recommendations!A1" display="Recommendations" xr:uid="{00000000-0004-0000-1A00-000001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23"/>
  <sheetViews>
    <sheetView zoomScale="80" zoomScaleNormal="80" workbookViewId="0">
      <pane xSplit="2" ySplit="1" topLeftCell="C11" activePane="bottomRight" state="frozen"/>
      <selection activeCell="B21" sqref="B21"/>
      <selection pane="topRight" activeCell="B21" sqref="B21"/>
      <selection pane="bottomLeft" activeCell="B21" sqref="B21"/>
      <selection pane="bottomRight" activeCell="G9" sqref="G9"/>
    </sheetView>
  </sheetViews>
  <sheetFormatPr baseColWidth="10" defaultColWidth="11" defaultRowHeight="16" x14ac:dyDescent="0.2"/>
  <cols>
    <col min="2" max="2" width="50.33203125" bestFit="1" customWidth="1"/>
    <col min="3" max="7" width="27" customWidth="1"/>
    <col min="8" max="8" width="28.1640625" customWidth="1"/>
  </cols>
  <sheetData>
    <row r="1" spans="1:8" ht="34" customHeight="1" thickBot="1" x14ac:dyDescent="0.3">
      <c r="A1" s="82" t="s">
        <v>57</v>
      </c>
      <c r="B1" s="20" t="s">
        <v>17</v>
      </c>
      <c r="C1" s="13" t="s">
        <v>34</v>
      </c>
      <c r="D1" s="13" t="s">
        <v>35</v>
      </c>
      <c r="E1" s="13" t="s">
        <v>36</v>
      </c>
      <c r="F1" s="13" t="s">
        <v>37</v>
      </c>
      <c r="G1" s="13" t="s">
        <v>38</v>
      </c>
      <c r="H1" s="147" t="s">
        <v>82</v>
      </c>
    </row>
    <row r="2" spans="1:8" ht="34" customHeight="1" x14ac:dyDescent="0.35">
      <c r="B2" s="34" t="s">
        <v>18</v>
      </c>
      <c r="C2" s="51"/>
      <c r="D2" s="51"/>
      <c r="E2" s="51"/>
      <c r="F2" s="51"/>
      <c r="G2" s="45">
        <v>464</v>
      </c>
    </row>
    <row r="3" spans="1:8" ht="34" customHeight="1" x14ac:dyDescent="0.35">
      <c r="B3" s="115" t="s">
        <v>23</v>
      </c>
      <c r="C3" s="116"/>
      <c r="D3" s="116"/>
      <c r="E3" s="116"/>
      <c r="F3" s="116"/>
      <c r="G3" s="46">
        <v>376</v>
      </c>
    </row>
    <row r="4" spans="1:8" ht="34" customHeight="1" x14ac:dyDescent="0.35">
      <c r="B4" s="115" t="s">
        <v>24</v>
      </c>
      <c r="C4" s="116"/>
      <c r="D4" s="116"/>
      <c r="E4" s="116"/>
      <c r="F4" s="116"/>
      <c r="G4" s="46">
        <v>4</v>
      </c>
    </row>
    <row r="5" spans="1:8" ht="34" customHeight="1" thickBot="1" x14ac:dyDescent="0.4">
      <c r="B5" s="117" t="s">
        <v>25</v>
      </c>
      <c r="C5" s="118"/>
      <c r="D5" s="118"/>
      <c r="E5" s="118"/>
      <c r="F5" s="118"/>
      <c r="G5" s="47">
        <v>84</v>
      </c>
    </row>
    <row r="6" spans="1:8" ht="34" customHeight="1" x14ac:dyDescent="0.35">
      <c r="B6" s="34" t="s">
        <v>50</v>
      </c>
      <c r="C6" s="51"/>
      <c r="D6" s="51"/>
      <c r="E6" s="51"/>
      <c r="F6" s="51"/>
      <c r="G6" s="45">
        <v>470</v>
      </c>
    </row>
    <row r="7" spans="1:8" ht="34" customHeight="1" x14ac:dyDescent="0.35">
      <c r="B7" s="115" t="s">
        <v>19</v>
      </c>
      <c r="C7" s="119"/>
      <c r="D7" s="119"/>
      <c r="E7" s="119"/>
      <c r="F7" s="119"/>
      <c r="G7" s="48">
        <v>461</v>
      </c>
    </row>
    <row r="8" spans="1:8" ht="34" customHeight="1" thickBot="1" x14ac:dyDescent="0.4">
      <c r="B8" s="115" t="s">
        <v>64</v>
      </c>
      <c r="C8" s="120"/>
      <c r="D8" s="120"/>
      <c r="E8" s="120"/>
      <c r="F8" s="120"/>
      <c r="G8" s="49">
        <v>3</v>
      </c>
    </row>
    <row r="9" spans="1:8" ht="34" customHeight="1" x14ac:dyDescent="0.35">
      <c r="B9" s="34" t="s">
        <v>22</v>
      </c>
      <c r="C9" s="51"/>
      <c r="D9" s="51"/>
      <c r="E9" s="51"/>
      <c r="F9" s="51"/>
      <c r="G9" s="45">
        <v>9</v>
      </c>
    </row>
    <row r="10" spans="1:8" ht="34" customHeight="1" x14ac:dyDescent="0.35">
      <c r="B10" s="115" t="s">
        <v>26</v>
      </c>
      <c r="C10" s="116"/>
      <c r="D10" s="116"/>
      <c r="E10" s="116"/>
      <c r="F10" s="116"/>
      <c r="G10" s="46">
        <v>6</v>
      </c>
    </row>
    <row r="11" spans="1:8" ht="34" customHeight="1" thickBot="1" x14ac:dyDescent="0.4">
      <c r="B11" s="121" t="s">
        <v>27</v>
      </c>
      <c r="C11" s="122"/>
      <c r="D11" s="122"/>
      <c r="E11" s="122"/>
      <c r="F11" s="122"/>
      <c r="G11" s="50">
        <v>3</v>
      </c>
    </row>
    <row r="12" spans="1:8" ht="34" customHeight="1" thickBot="1" x14ac:dyDescent="0.4">
      <c r="B12" s="123" t="s">
        <v>21</v>
      </c>
      <c r="C12" s="124"/>
      <c r="D12" s="124"/>
      <c r="E12" s="124"/>
      <c r="F12" s="124"/>
      <c r="G12" s="105">
        <v>461</v>
      </c>
    </row>
    <row r="13" spans="1:8" ht="34" customHeight="1" x14ac:dyDescent="0.35">
      <c r="B13" s="106" t="s">
        <v>31</v>
      </c>
      <c r="C13" s="125"/>
      <c r="D13" s="125"/>
      <c r="E13" s="125"/>
      <c r="F13" s="125"/>
      <c r="G13" s="108"/>
    </row>
    <row r="14" spans="1:8" ht="34" customHeight="1" x14ac:dyDescent="0.35">
      <c r="B14" s="115" t="s">
        <v>32</v>
      </c>
      <c r="C14" s="116"/>
      <c r="D14" s="116"/>
      <c r="E14" s="116"/>
      <c r="F14" s="116"/>
      <c r="G14" s="109"/>
    </row>
    <row r="15" spans="1:8" ht="34" customHeight="1" thickBot="1" x14ac:dyDescent="0.4">
      <c r="B15" s="121" t="s">
        <v>65</v>
      </c>
      <c r="C15" s="122"/>
      <c r="D15" s="122"/>
      <c r="E15" s="122"/>
      <c r="F15" s="122"/>
      <c r="G15" s="110"/>
    </row>
    <row r="16" spans="1:8" ht="34" customHeight="1" x14ac:dyDescent="0.35">
      <c r="B16" s="126" t="s">
        <v>66</v>
      </c>
      <c r="C16" s="116"/>
      <c r="D16" s="116"/>
      <c r="E16" s="116"/>
      <c r="F16" s="116"/>
      <c r="G16" s="103">
        <v>410</v>
      </c>
    </row>
    <row r="17" spans="2:7" ht="34" customHeight="1" x14ac:dyDescent="0.35">
      <c r="B17" s="127" t="s">
        <v>67</v>
      </c>
      <c r="C17" s="116"/>
      <c r="D17" s="116"/>
      <c r="E17" s="116"/>
      <c r="F17" s="116"/>
      <c r="G17" s="99">
        <v>51</v>
      </c>
    </row>
    <row r="18" spans="2:7" ht="34" customHeight="1" x14ac:dyDescent="0.35">
      <c r="B18" s="126" t="s">
        <v>68</v>
      </c>
      <c r="C18" s="116"/>
      <c r="D18" s="116"/>
      <c r="E18" s="116"/>
      <c r="F18" s="116"/>
      <c r="G18" s="99"/>
    </row>
    <row r="19" spans="2:7" ht="34" customHeight="1" thickBot="1" x14ac:dyDescent="0.4">
      <c r="B19" s="128" t="s">
        <v>72</v>
      </c>
      <c r="C19" s="122"/>
      <c r="D19" s="122"/>
      <c r="E19" s="122"/>
      <c r="F19" s="122"/>
      <c r="G19" s="101"/>
    </row>
    <row r="20" spans="2:7" ht="34" customHeight="1" x14ac:dyDescent="0.35">
      <c r="B20" s="129" t="s">
        <v>33</v>
      </c>
      <c r="C20" s="130"/>
      <c r="D20" s="130"/>
      <c r="E20" s="130"/>
      <c r="F20" s="130"/>
      <c r="G20" s="53">
        <v>5</v>
      </c>
    </row>
    <row r="21" spans="2:7" ht="34" customHeight="1" x14ac:dyDescent="0.35">
      <c r="B21" s="115" t="s">
        <v>70</v>
      </c>
      <c r="C21" s="116"/>
      <c r="D21" s="116"/>
      <c r="E21" s="116"/>
      <c r="F21" s="116"/>
      <c r="G21" s="46">
        <v>5</v>
      </c>
    </row>
    <row r="22" spans="2:7" ht="32" thickBot="1" x14ac:dyDescent="0.4">
      <c r="B22" s="121" t="s">
        <v>71</v>
      </c>
      <c r="C22" s="122"/>
      <c r="D22" s="122"/>
      <c r="E22" s="122"/>
      <c r="F22" s="122"/>
      <c r="G22" s="50">
        <v>0</v>
      </c>
    </row>
    <row r="23" spans="2:7" ht="31" x14ac:dyDescent="0.35">
      <c r="B23" s="131" t="s">
        <v>30</v>
      </c>
      <c r="C23" s="132"/>
      <c r="D23" s="132"/>
      <c r="E23" s="132"/>
      <c r="F23" s="132"/>
      <c r="G23" s="55">
        <v>3</v>
      </c>
    </row>
  </sheetData>
  <hyperlinks>
    <hyperlink ref="A1" location="Navigation!A1" display="Home" xr:uid="{00000000-0004-0000-1B00-000000000000}"/>
    <hyperlink ref="H1" location="Recommendations!A1" display="Recommendations" xr:uid="{00000000-0004-0000-1B00-000001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23"/>
  <sheetViews>
    <sheetView zoomScale="80" zoomScaleNormal="80" workbookViewId="0">
      <pane xSplit="2" ySplit="1" topLeftCell="C2" activePane="bottomRight" state="frozen"/>
      <selection activeCell="B21" sqref="B21"/>
      <selection pane="topRight" activeCell="B21" sqref="B21"/>
      <selection pane="bottomLeft" activeCell="B21" sqref="B21"/>
      <selection pane="bottomRight" activeCell="G2" sqref="G2:G23"/>
    </sheetView>
  </sheetViews>
  <sheetFormatPr baseColWidth="10" defaultColWidth="11" defaultRowHeight="33" customHeight="1" x14ac:dyDescent="0.2"/>
  <cols>
    <col min="2" max="2" width="50.33203125" bestFit="1" customWidth="1"/>
    <col min="3" max="7" width="27" customWidth="1"/>
    <col min="8" max="8" width="26" customWidth="1"/>
  </cols>
  <sheetData>
    <row r="1" spans="1:8" ht="33" customHeight="1" thickBot="1" x14ac:dyDescent="0.3">
      <c r="A1" s="82" t="s">
        <v>57</v>
      </c>
      <c r="B1" s="20" t="s">
        <v>17</v>
      </c>
      <c r="C1" s="13" t="s">
        <v>34</v>
      </c>
      <c r="D1" s="13" t="s">
        <v>35</v>
      </c>
      <c r="E1" s="13" t="s">
        <v>36</v>
      </c>
      <c r="F1" s="13" t="s">
        <v>37</v>
      </c>
      <c r="G1" s="13" t="s">
        <v>52</v>
      </c>
      <c r="H1" s="147" t="s">
        <v>82</v>
      </c>
    </row>
    <row r="2" spans="1:8" ht="33" customHeight="1" x14ac:dyDescent="0.35">
      <c r="B2" s="34" t="s">
        <v>18</v>
      </c>
      <c r="C2" s="51"/>
      <c r="D2" s="51"/>
      <c r="E2" s="51"/>
      <c r="F2" s="51"/>
      <c r="G2" s="45">
        <v>428</v>
      </c>
    </row>
    <row r="3" spans="1:8" ht="33" customHeight="1" x14ac:dyDescent="0.35">
      <c r="B3" s="115" t="s">
        <v>23</v>
      </c>
      <c r="C3" s="116"/>
      <c r="D3" s="116"/>
      <c r="E3" s="116"/>
      <c r="F3" s="116"/>
      <c r="G3" s="46">
        <v>352</v>
      </c>
    </row>
    <row r="4" spans="1:8" ht="33" customHeight="1" x14ac:dyDescent="0.35">
      <c r="B4" s="115" t="s">
        <v>24</v>
      </c>
      <c r="C4" s="116"/>
      <c r="D4" s="116"/>
      <c r="E4" s="116"/>
      <c r="F4" s="116"/>
      <c r="G4" s="46">
        <v>2</v>
      </c>
    </row>
    <row r="5" spans="1:8" ht="33" customHeight="1" thickBot="1" x14ac:dyDescent="0.4">
      <c r="B5" s="117" t="s">
        <v>25</v>
      </c>
      <c r="C5" s="118"/>
      <c r="D5" s="118"/>
      <c r="E5" s="118"/>
      <c r="F5" s="118"/>
      <c r="G5" s="47">
        <v>74</v>
      </c>
    </row>
    <row r="6" spans="1:8" ht="33" customHeight="1" x14ac:dyDescent="0.35">
      <c r="B6" s="34" t="s">
        <v>50</v>
      </c>
      <c r="C6" s="51"/>
      <c r="D6" s="51"/>
      <c r="E6" s="51"/>
      <c r="F6" s="51"/>
      <c r="G6" s="45">
        <v>430</v>
      </c>
    </row>
    <row r="7" spans="1:8" ht="33" customHeight="1" x14ac:dyDescent="0.35">
      <c r="B7" s="115" t="s">
        <v>19</v>
      </c>
      <c r="C7" s="119"/>
      <c r="D7" s="119"/>
      <c r="E7" s="119"/>
      <c r="F7" s="119"/>
      <c r="G7" s="48">
        <v>425</v>
      </c>
    </row>
    <row r="8" spans="1:8" ht="33" customHeight="1" thickBot="1" x14ac:dyDescent="0.4">
      <c r="B8" s="115" t="s">
        <v>64</v>
      </c>
      <c r="C8" s="120"/>
      <c r="D8" s="120"/>
      <c r="E8" s="120"/>
      <c r="F8" s="120"/>
      <c r="G8" s="49">
        <v>3</v>
      </c>
    </row>
    <row r="9" spans="1:8" ht="33" customHeight="1" x14ac:dyDescent="0.35">
      <c r="B9" s="34" t="s">
        <v>22</v>
      </c>
      <c r="C9" s="51"/>
      <c r="D9" s="51"/>
      <c r="E9" s="51"/>
      <c r="F9" s="51"/>
      <c r="G9" s="45">
        <v>5</v>
      </c>
    </row>
    <row r="10" spans="1:8" ht="33" customHeight="1" x14ac:dyDescent="0.35">
      <c r="B10" s="115" t="s">
        <v>26</v>
      </c>
      <c r="C10" s="116"/>
      <c r="D10" s="116"/>
      <c r="E10" s="116"/>
      <c r="F10" s="116"/>
      <c r="G10" s="46">
        <v>2</v>
      </c>
    </row>
    <row r="11" spans="1:8" ht="33" customHeight="1" thickBot="1" x14ac:dyDescent="0.4">
      <c r="B11" s="121" t="s">
        <v>27</v>
      </c>
      <c r="C11" s="122"/>
      <c r="D11" s="122"/>
      <c r="E11" s="122"/>
      <c r="F11" s="122"/>
      <c r="G11" s="50">
        <v>3</v>
      </c>
    </row>
    <row r="12" spans="1:8" ht="33" customHeight="1" thickBot="1" x14ac:dyDescent="0.4">
      <c r="B12" s="123" t="s">
        <v>21</v>
      </c>
      <c r="C12" s="124"/>
      <c r="D12" s="124"/>
      <c r="E12" s="124"/>
      <c r="F12" s="124"/>
      <c r="G12" s="105">
        <v>425</v>
      </c>
    </row>
    <row r="13" spans="1:8" ht="33" customHeight="1" x14ac:dyDescent="0.35">
      <c r="B13" s="106" t="s">
        <v>31</v>
      </c>
      <c r="C13" s="125"/>
      <c r="D13" s="125"/>
      <c r="E13" s="125"/>
      <c r="F13" s="125"/>
      <c r="G13" s="108"/>
    </row>
    <row r="14" spans="1:8" ht="33" customHeight="1" x14ac:dyDescent="0.35">
      <c r="B14" s="115" t="s">
        <v>32</v>
      </c>
      <c r="C14" s="116"/>
      <c r="D14" s="116"/>
      <c r="E14" s="116"/>
      <c r="F14" s="116"/>
      <c r="G14" s="109"/>
    </row>
    <row r="15" spans="1:8" ht="33" customHeight="1" thickBot="1" x14ac:dyDescent="0.4">
      <c r="B15" s="121" t="s">
        <v>65</v>
      </c>
      <c r="C15" s="122"/>
      <c r="D15" s="122"/>
      <c r="E15" s="122"/>
      <c r="F15" s="122"/>
      <c r="G15" s="110"/>
    </row>
    <row r="16" spans="1:8" ht="33" customHeight="1" x14ac:dyDescent="0.35">
      <c r="B16" s="126" t="s">
        <v>66</v>
      </c>
      <c r="C16" s="116"/>
      <c r="D16" s="116"/>
      <c r="E16" s="116"/>
      <c r="F16" s="116"/>
      <c r="G16" s="103">
        <v>394</v>
      </c>
    </row>
    <row r="17" spans="2:7" ht="33" customHeight="1" x14ac:dyDescent="0.35">
      <c r="B17" s="127" t="s">
        <v>67</v>
      </c>
      <c r="C17" s="116"/>
      <c r="D17" s="116"/>
      <c r="E17" s="116"/>
      <c r="F17" s="116"/>
      <c r="G17" s="99">
        <v>31</v>
      </c>
    </row>
    <row r="18" spans="2:7" ht="33" customHeight="1" x14ac:dyDescent="0.35">
      <c r="B18" s="126" t="s">
        <v>68</v>
      </c>
      <c r="C18" s="116"/>
      <c r="D18" s="116"/>
      <c r="E18" s="116"/>
      <c r="F18" s="116"/>
      <c r="G18" s="99"/>
    </row>
    <row r="19" spans="2:7" ht="33" customHeight="1" thickBot="1" x14ac:dyDescent="0.4">
      <c r="B19" s="128" t="s">
        <v>72</v>
      </c>
      <c r="C19" s="122"/>
      <c r="D19" s="122"/>
      <c r="E19" s="122"/>
      <c r="F19" s="122"/>
      <c r="G19" s="101"/>
    </row>
    <row r="20" spans="2:7" ht="33" customHeight="1" x14ac:dyDescent="0.35">
      <c r="B20" s="129" t="s">
        <v>33</v>
      </c>
      <c r="C20" s="130"/>
      <c r="D20" s="130"/>
      <c r="E20" s="130"/>
      <c r="F20" s="130"/>
      <c r="G20" s="53">
        <v>5</v>
      </c>
    </row>
    <row r="21" spans="2:7" ht="33" customHeight="1" x14ac:dyDescent="0.35">
      <c r="B21" s="115" t="s">
        <v>70</v>
      </c>
      <c r="C21" s="116"/>
      <c r="D21" s="116"/>
      <c r="E21" s="116"/>
      <c r="F21" s="116"/>
      <c r="G21" s="46">
        <v>3</v>
      </c>
    </row>
    <row r="22" spans="2:7" ht="33" customHeight="1" thickBot="1" x14ac:dyDescent="0.4">
      <c r="B22" s="121" t="s">
        <v>71</v>
      </c>
      <c r="C22" s="122"/>
      <c r="D22" s="122"/>
      <c r="E22" s="122"/>
      <c r="F22" s="122"/>
      <c r="G22" s="50">
        <v>2</v>
      </c>
    </row>
    <row r="23" spans="2:7" ht="33" customHeight="1" x14ac:dyDescent="0.35">
      <c r="B23" s="131" t="s">
        <v>30</v>
      </c>
      <c r="C23" s="132"/>
      <c r="D23" s="132"/>
      <c r="E23" s="132"/>
      <c r="F23" s="132"/>
      <c r="G23" s="55">
        <v>1</v>
      </c>
    </row>
  </sheetData>
  <hyperlinks>
    <hyperlink ref="A1" location="Navigation!A1" display="Home" xr:uid="{00000000-0004-0000-1C00-000000000000}"/>
    <hyperlink ref="H1" location="Recommendations!A1" display="Recommendations" xr:uid="{00000000-0004-0000-1C00-000001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23"/>
  <sheetViews>
    <sheetView zoomScale="80" zoomScaleNormal="80" workbookViewId="0">
      <pane xSplit="2" ySplit="1" topLeftCell="C2" activePane="bottomRight" state="frozen"/>
      <selection activeCell="B21" sqref="B21"/>
      <selection pane="topRight" activeCell="B21" sqref="B21"/>
      <selection pane="bottomLeft" activeCell="B21" sqref="B21"/>
      <selection pane="bottomRight" activeCell="G2" sqref="G2:G23"/>
    </sheetView>
  </sheetViews>
  <sheetFormatPr baseColWidth="10" defaultColWidth="11" defaultRowHeight="33" customHeight="1" x14ac:dyDescent="0.2"/>
  <cols>
    <col min="2" max="2" width="51" bestFit="1" customWidth="1"/>
    <col min="3" max="7" width="27" customWidth="1"/>
    <col min="8" max="8" width="25.83203125" customWidth="1"/>
  </cols>
  <sheetData>
    <row r="1" spans="1:8" ht="33" customHeight="1" thickBot="1" x14ac:dyDescent="0.3">
      <c r="A1" s="82" t="s">
        <v>57</v>
      </c>
      <c r="B1" s="20" t="s">
        <v>17</v>
      </c>
      <c r="C1" s="13" t="s">
        <v>34</v>
      </c>
      <c r="D1" s="13" t="s">
        <v>35</v>
      </c>
      <c r="E1" s="13" t="s">
        <v>36</v>
      </c>
      <c r="F1" s="13" t="s">
        <v>37</v>
      </c>
      <c r="G1" s="13" t="s">
        <v>38</v>
      </c>
      <c r="H1" s="147" t="s">
        <v>82</v>
      </c>
    </row>
    <row r="2" spans="1:8" ht="33" customHeight="1" x14ac:dyDescent="0.35">
      <c r="B2" s="34" t="s">
        <v>18</v>
      </c>
      <c r="C2" s="51"/>
      <c r="D2" s="51"/>
      <c r="E2" s="51"/>
      <c r="F2" s="51"/>
      <c r="G2" s="45">
        <v>428</v>
      </c>
    </row>
    <row r="3" spans="1:8" ht="33" customHeight="1" x14ac:dyDescent="0.35">
      <c r="B3" s="115" t="s">
        <v>23</v>
      </c>
      <c r="C3" s="116"/>
      <c r="D3" s="116"/>
      <c r="E3" s="116"/>
      <c r="F3" s="116"/>
      <c r="G3" s="46">
        <v>342</v>
      </c>
    </row>
    <row r="4" spans="1:8" ht="33" customHeight="1" x14ac:dyDescent="0.35">
      <c r="B4" s="115" t="s">
        <v>24</v>
      </c>
      <c r="C4" s="116"/>
      <c r="D4" s="116"/>
      <c r="E4" s="116"/>
      <c r="F4" s="116"/>
      <c r="G4" s="46">
        <v>7</v>
      </c>
    </row>
    <row r="5" spans="1:8" ht="33" customHeight="1" thickBot="1" x14ac:dyDescent="0.4">
      <c r="B5" s="117" t="s">
        <v>25</v>
      </c>
      <c r="C5" s="118"/>
      <c r="D5" s="118"/>
      <c r="E5" s="118"/>
      <c r="F5" s="118"/>
      <c r="G5" s="47">
        <v>79</v>
      </c>
    </row>
    <row r="6" spans="1:8" ht="33" customHeight="1" x14ac:dyDescent="0.35">
      <c r="B6" s="34" t="s">
        <v>50</v>
      </c>
      <c r="C6" s="51"/>
      <c r="D6" s="51"/>
      <c r="E6" s="51"/>
      <c r="F6" s="51"/>
      <c r="G6" s="45">
        <v>434</v>
      </c>
    </row>
    <row r="7" spans="1:8" ht="33" customHeight="1" x14ac:dyDescent="0.35">
      <c r="B7" s="115" t="s">
        <v>19</v>
      </c>
      <c r="C7" s="119"/>
      <c r="D7" s="119"/>
      <c r="E7" s="119"/>
      <c r="F7" s="119"/>
      <c r="G7" s="48">
        <v>422</v>
      </c>
    </row>
    <row r="8" spans="1:8" ht="33" customHeight="1" thickBot="1" x14ac:dyDescent="0.4">
      <c r="B8" s="115" t="s">
        <v>64</v>
      </c>
      <c r="C8" s="120"/>
      <c r="D8" s="120"/>
      <c r="E8" s="120"/>
      <c r="F8" s="120"/>
      <c r="G8" s="49">
        <v>12</v>
      </c>
    </row>
    <row r="9" spans="1:8" ht="33" customHeight="1" x14ac:dyDescent="0.35">
      <c r="B9" s="34" t="s">
        <v>22</v>
      </c>
      <c r="C9" s="51"/>
      <c r="D9" s="51"/>
      <c r="E9" s="51"/>
      <c r="F9" s="51"/>
      <c r="G9" s="45">
        <v>6</v>
      </c>
    </row>
    <row r="10" spans="1:8" ht="33" customHeight="1" x14ac:dyDescent="0.35">
      <c r="B10" s="115" t="s">
        <v>26</v>
      </c>
      <c r="C10" s="116"/>
      <c r="D10" s="116"/>
      <c r="E10" s="116"/>
      <c r="F10" s="116"/>
      <c r="G10" s="46">
        <v>4</v>
      </c>
    </row>
    <row r="11" spans="1:8" ht="33" customHeight="1" thickBot="1" x14ac:dyDescent="0.4">
      <c r="B11" s="121" t="s">
        <v>27</v>
      </c>
      <c r="C11" s="122"/>
      <c r="D11" s="122"/>
      <c r="E11" s="122"/>
      <c r="F11" s="122"/>
      <c r="G11" s="50">
        <v>2</v>
      </c>
    </row>
    <row r="12" spans="1:8" ht="33" customHeight="1" thickBot="1" x14ac:dyDescent="0.4">
      <c r="B12" s="123" t="s">
        <v>21</v>
      </c>
      <c r="C12" s="124"/>
      <c r="D12" s="124"/>
      <c r="E12" s="124"/>
      <c r="F12" s="124"/>
      <c r="G12" s="105">
        <v>428</v>
      </c>
    </row>
    <row r="13" spans="1:8" ht="33" customHeight="1" x14ac:dyDescent="0.35">
      <c r="B13" s="106" t="s">
        <v>31</v>
      </c>
      <c r="C13" s="125"/>
      <c r="D13" s="125"/>
      <c r="E13" s="125"/>
      <c r="F13" s="125"/>
      <c r="G13" s="108">
        <v>407</v>
      </c>
    </row>
    <row r="14" spans="1:8" ht="33" customHeight="1" x14ac:dyDescent="0.35">
      <c r="B14" s="115" t="s">
        <v>32</v>
      </c>
      <c r="C14" s="116"/>
      <c r="D14" s="116"/>
      <c r="E14" s="116"/>
      <c r="F14" s="116"/>
      <c r="G14" s="109">
        <v>21</v>
      </c>
    </row>
    <row r="15" spans="1:8" ht="33" customHeight="1" thickBot="1" x14ac:dyDescent="0.4">
      <c r="B15" s="121" t="s">
        <v>65</v>
      </c>
      <c r="C15" s="122"/>
      <c r="D15" s="122"/>
      <c r="E15" s="122"/>
      <c r="F15" s="122"/>
      <c r="G15" s="110"/>
    </row>
    <row r="16" spans="1:8" ht="33" customHeight="1" x14ac:dyDescent="0.35">
      <c r="B16" s="126" t="s">
        <v>66</v>
      </c>
      <c r="C16" s="116"/>
      <c r="D16" s="116"/>
      <c r="E16" s="116"/>
      <c r="F16" s="116"/>
      <c r="G16" s="103">
        <v>375</v>
      </c>
    </row>
    <row r="17" spans="2:7" ht="33" customHeight="1" x14ac:dyDescent="0.35">
      <c r="B17" s="127" t="s">
        <v>67</v>
      </c>
      <c r="C17" s="116"/>
      <c r="D17" s="116"/>
      <c r="E17" s="116"/>
      <c r="F17" s="116"/>
      <c r="G17" s="99">
        <v>53</v>
      </c>
    </row>
    <row r="18" spans="2:7" ht="33" customHeight="1" x14ac:dyDescent="0.35">
      <c r="B18" s="126" t="s">
        <v>68</v>
      </c>
      <c r="C18" s="116"/>
      <c r="D18" s="116"/>
      <c r="E18" s="116"/>
      <c r="F18" s="116"/>
      <c r="G18" s="99"/>
    </row>
    <row r="19" spans="2:7" ht="33" customHeight="1" thickBot="1" x14ac:dyDescent="0.4">
      <c r="B19" s="128" t="s">
        <v>72</v>
      </c>
      <c r="C19" s="122"/>
      <c r="D19" s="122"/>
      <c r="E19" s="122"/>
      <c r="F19" s="122"/>
      <c r="G19" s="101"/>
    </row>
    <row r="20" spans="2:7" ht="33" customHeight="1" x14ac:dyDescent="0.35">
      <c r="B20" s="129" t="s">
        <v>33</v>
      </c>
      <c r="C20" s="130"/>
      <c r="D20" s="130"/>
      <c r="E20" s="130"/>
      <c r="F20" s="130"/>
      <c r="G20" s="53">
        <v>2</v>
      </c>
    </row>
    <row r="21" spans="2:7" ht="33" customHeight="1" x14ac:dyDescent="0.35">
      <c r="B21" s="115" t="s">
        <v>70</v>
      </c>
      <c r="C21" s="116"/>
      <c r="D21" s="116"/>
      <c r="E21" s="116"/>
      <c r="F21" s="116"/>
      <c r="G21" s="46">
        <v>2</v>
      </c>
    </row>
    <row r="22" spans="2:7" ht="33" customHeight="1" thickBot="1" x14ac:dyDescent="0.4">
      <c r="B22" s="121" t="s">
        <v>71</v>
      </c>
      <c r="C22" s="122"/>
      <c r="D22" s="122"/>
      <c r="E22" s="122"/>
      <c r="F22" s="122"/>
      <c r="G22" s="50">
        <v>0</v>
      </c>
    </row>
    <row r="23" spans="2:7" ht="33" customHeight="1" x14ac:dyDescent="0.35">
      <c r="B23" s="131" t="s">
        <v>30</v>
      </c>
      <c r="C23" s="132"/>
      <c r="D23" s="132"/>
      <c r="E23" s="132"/>
      <c r="F23" s="132"/>
      <c r="G23" s="55">
        <v>1</v>
      </c>
    </row>
  </sheetData>
  <hyperlinks>
    <hyperlink ref="A1" location="Navigation!A1" display="Home" xr:uid="{00000000-0004-0000-1D00-000000000000}"/>
    <hyperlink ref="H1" location="Recommendations!A1" display="Recommendations" xr:uid="{00000000-0004-0000-1D00-000001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23"/>
  <sheetViews>
    <sheetView zoomScale="80" zoomScaleNormal="80" workbookViewId="0">
      <pane xSplit="2" ySplit="1" topLeftCell="C14" activePane="bottomRight" state="frozen"/>
      <selection activeCell="B21" sqref="B21"/>
      <selection pane="topRight" activeCell="B21" sqref="B21"/>
      <selection pane="bottomLeft" activeCell="B21" sqref="B21"/>
      <selection pane="bottomRight" activeCell="C2" sqref="C2:F23"/>
    </sheetView>
  </sheetViews>
  <sheetFormatPr baseColWidth="10" defaultColWidth="11" defaultRowHeight="33" customHeight="1" x14ac:dyDescent="0.2"/>
  <cols>
    <col min="2" max="2" width="50.33203125" bestFit="1" customWidth="1"/>
    <col min="3" max="7" width="27" customWidth="1"/>
    <col min="8" max="8" width="29.33203125" customWidth="1"/>
  </cols>
  <sheetData>
    <row r="1" spans="1:8" ht="33" customHeight="1" thickBot="1" x14ac:dyDescent="0.3">
      <c r="A1" s="82" t="s">
        <v>57</v>
      </c>
      <c r="B1" s="20" t="s">
        <v>17</v>
      </c>
      <c r="C1" s="13" t="s">
        <v>34</v>
      </c>
      <c r="D1" s="13" t="s">
        <v>35</v>
      </c>
      <c r="E1" s="13" t="s">
        <v>36</v>
      </c>
      <c r="F1" s="13" t="s">
        <v>37</v>
      </c>
      <c r="G1" s="13" t="s">
        <v>38</v>
      </c>
      <c r="H1" s="147" t="s">
        <v>82</v>
      </c>
    </row>
    <row r="2" spans="1:8" ht="33" customHeight="1" x14ac:dyDescent="0.35">
      <c r="B2" s="34" t="s">
        <v>18</v>
      </c>
      <c r="C2" s="51">
        <v>104</v>
      </c>
      <c r="D2" s="51">
        <v>83</v>
      </c>
      <c r="E2" s="51">
        <v>109</v>
      </c>
      <c r="F2" s="51">
        <v>95</v>
      </c>
      <c r="G2" s="45"/>
    </row>
    <row r="3" spans="1:8" ht="33" customHeight="1" x14ac:dyDescent="0.35">
      <c r="B3" s="115" t="s">
        <v>23</v>
      </c>
      <c r="C3" s="116">
        <v>85</v>
      </c>
      <c r="D3" s="116">
        <v>63</v>
      </c>
      <c r="E3" s="116">
        <v>93</v>
      </c>
      <c r="F3" s="116">
        <v>77</v>
      </c>
      <c r="G3" s="46"/>
    </row>
    <row r="4" spans="1:8" ht="33" customHeight="1" x14ac:dyDescent="0.35">
      <c r="B4" s="115" t="s">
        <v>24</v>
      </c>
      <c r="C4" s="116">
        <v>1</v>
      </c>
      <c r="D4" s="116">
        <v>0</v>
      </c>
      <c r="E4" s="116">
        <v>0</v>
      </c>
      <c r="F4" s="116">
        <v>3</v>
      </c>
      <c r="G4" s="46"/>
    </row>
    <row r="5" spans="1:8" ht="33" customHeight="1" thickBot="1" x14ac:dyDescent="0.4">
      <c r="B5" s="117" t="s">
        <v>25</v>
      </c>
      <c r="C5" s="118">
        <v>18</v>
      </c>
      <c r="D5" s="118">
        <v>20</v>
      </c>
      <c r="E5" s="118">
        <v>16</v>
      </c>
      <c r="F5" s="118">
        <v>15</v>
      </c>
      <c r="G5" s="47"/>
    </row>
    <row r="6" spans="1:8" ht="33" customHeight="1" x14ac:dyDescent="0.35">
      <c r="B6" s="34" t="s">
        <v>50</v>
      </c>
      <c r="C6" s="51">
        <v>104</v>
      </c>
      <c r="D6" s="51">
        <v>83</v>
      </c>
      <c r="E6" s="51">
        <v>108</v>
      </c>
      <c r="F6" s="51">
        <v>95</v>
      </c>
      <c r="G6" s="45"/>
    </row>
    <row r="7" spans="1:8" ht="33" customHeight="1" x14ac:dyDescent="0.35">
      <c r="B7" s="115" t="s">
        <v>19</v>
      </c>
      <c r="C7" s="119">
        <v>104</v>
      </c>
      <c r="D7" s="119">
        <v>82</v>
      </c>
      <c r="E7" s="119">
        <v>106</v>
      </c>
      <c r="F7" s="119">
        <v>94</v>
      </c>
      <c r="G7" s="48"/>
    </row>
    <row r="8" spans="1:8" ht="33" customHeight="1" thickBot="1" x14ac:dyDescent="0.4">
      <c r="B8" s="115" t="s">
        <v>64</v>
      </c>
      <c r="C8" s="120">
        <v>0</v>
      </c>
      <c r="D8" s="120">
        <v>1</v>
      </c>
      <c r="E8" s="120">
        <v>3</v>
      </c>
      <c r="F8" s="120">
        <v>1</v>
      </c>
      <c r="G8" s="49"/>
    </row>
    <row r="9" spans="1:8" ht="33" customHeight="1" x14ac:dyDescent="0.35">
      <c r="B9" s="34" t="s">
        <v>22</v>
      </c>
      <c r="C9" s="51">
        <v>3</v>
      </c>
      <c r="D9" s="51">
        <v>4</v>
      </c>
      <c r="E9" s="51">
        <v>1</v>
      </c>
      <c r="F9" s="51">
        <v>3</v>
      </c>
      <c r="G9" s="45"/>
    </row>
    <row r="10" spans="1:8" ht="33" customHeight="1" x14ac:dyDescent="0.35">
      <c r="B10" s="115" t="s">
        <v>26</v>
      </c>
      <c r="C10" s="116">
        <v>3</v>
      </c>
      <c r="D10" s="116">
        <v>2</v>
      </c>
      <c r="E10" s="116">
        <v>0</v>
      </c>
      <c r="F10" s="116">
        <v>3</v>
      </c>
      <c r="G10" s="46"/>
    </row>
    <row r="11" spans="1:8" ht="33" customHeight="1" thickBot="1" x14ac:dyDescent="0.4">
      <c r="B11" s="121" t="s">
        <v>27</v>
      </c>
      <c r="C11" s="122">
        <v>0</v>
      </c>
      <c r="D11" s="122">
        <v>2</v>
      </c>
      <c r="E11" s="122">
        <v>1</v>
      </c>
      <c r="F11" s="122">
        <v>0</v>
      </c>
      <c r="G11" s="50"/>
    </row>
    <row r="12" spans="1:8" ht="33" customHeight="1" thickBot="1" x14ac:dyDescent="0.4">
      <c r="B12" s="123" t="s">
        <v>21</v>
      </c>
      <c r="C12" s="124">
        <v>101</v>
      </c>
      <c r="D12" s="124">
        <v>79</v>
      </c>
      <c r="E12" s="124">
        <v>107</v>
      </c>
      <c r="F12" s="124">
        <v>92</v>
      </c>
      <c r="G12" s="105"/>
    </row>
    <row r="13" spans="1:8" ht="33" customHeight="1" x14ac:dyDescent="0.35">
      <c r="B13" s="106" t="s">
        <v>31</v>
      </c>
      <c r="C13" s="125"/>
      <c r="D13" s="125"/>
      <c r="E13" s="125"/>
      <c r="F13" s="125"/>
      <c r="G13" s="108"/>
    </row>
    <row r="14" spans="1:8" ht="33" customHeight="1" x14ac:dyDescent="0.35">
      <c r="B14" s="115" t="s">
        <v>32</v>
      </c>
      <c r="C14" s="116"/>
      <c r="D14" s="116"/>
      <c r="E14" s="116"/>
      <c r="F14" s="116"/>
      <c r="G14" s="109"/>
    </row>
    <row r="15" spans="1:8" ht="33" customHeight="1" thickBot="1" x14ac:dyDescent="0.4">
      <c r="B15" s="121" t="s">
        <v>65</v>
      </c>
      <c r="C15" s="122"/>
      <c r="D15" s="122"/>
      <c r="E15" s="122"/>
      <c r="F15" s="122"/>
      <c r="G15" s="110"/>
    </row>
    <row r="16" spans="1:8" ht="33" customHeight="1" x14ac:dyDescent="0.35">
      <c r="B16" s="126" t="s">
        <v>66</v>
      </c>
      <c r="C16" s="116">
        <v>87</v>
      </c>
      <c r="D16" s="116">
        <v>71</v>
      </c>
      <c r="E16" s="116">
        <v>98</v>
      </c>
      <c r="F16" s="116">
        <v>81</v>
      </c>
      <c r="G16" s="103"/>
    </row>
    <row r="17" spans="2:7" ht="33" customHeight="1" x14ac:dyDescent="0.35">
      <c r="B17" s="127" t="s">
        <v>67</v>
      </c>
      <c r="C17" s="116">
        <v>14</v>
      </c>
      <c r="D17" s="116">
        <v>13</v>
      </c>
      <c r="E17" s="116">
        <v>14</v>
      </c>
      <c r="F17" s="116">
        <v>13</v>
      </c>
      <c r="G17" s="99"/>
    </row>
    <row r="18" spans="2:7" ht="33" customHeight="1" x14ac:dyDescent="0.35">
      <c r="B18" s="126" t="s">
        <v>68</v>
      </c>
      <c r="C18" s="116">
        <v>1</v>
      </c>
      <c r="D18" s="116">
        <v>0</v>
      </c>
      <c r="E18" s="116">
        <v>0</v>
      </c>
      <c r="F18" s="116">
        <v>2</v>
      </c>
      <c r="G18" s="99"/>
    </row>
    <row r="19" spans="2:7" ht="33" customHeight="1" thickBot="1" x14ac:dyDescent="0.4">
      <c r="B19" s="128" t="s">
        <v>72</v>
      </c>
      <c r="C19" s="122">
        <v>0</v>
      </c>
      <c r="D19" s="122">
        <v>0</v>
      </c>
      <c r="E19" s="122">
        <v>0</v>
      </c>
      <c r="F19" s="122">
        <v>0</v>
      </c>
      <c r="G19" s="101"/>
    </row>
    <row r="20" spans="2:7" ht="33" customHeight="1" x14ac:dyDescent="0.35">
      <c r="B20" s="129" t="s">
        <v>33</v>
      </c>
      <c r="C20" s="130">
        <v>0</v>
      </c>
      <c r="D20" s="130">
        <v>1</v>
      </c>
      <c r="E20" s="130">
        <v>0</v>
      </c>
      <c r="F20" s="130">
        <v>1</v>
      </c>
      <c r="G20" s="53"/>
    </row>
    <row r="21" spans="2:7" ht="33" customHeight="1" x14ac:dyDescent="0.35">
      <c r="B21" s="115" t="s">
        <v>70</v>
      </c>
      <c r="C21" s="116">
        <v>0</v>
      </c>
      <c r="D21" s="116">
        <v>1</v>
      </c>
      <c r="E21" s="116">
        <v>0</v>
      </c>
      <c r="F21" s="116">
        <v>1</v>
      </c>
      <c r="G21" s="46"/>
    </row>
    <row r="22" spans="2:7" ht="33" customHeight="1" thickBot="1" x14ac:dyDescent="0.4">
      <c r="B22" s="121" t="s">
        <v>71</v>
      </c>
      <c r="C22" s="122">
        <v>0</v>
      </c>
      <c r="D22" s="122">
        <v>0</v>
      </c>
      <c r="E22" s="122">
        <v>0</v>
      </c>
      <c r="F22" s="122">
        <v>0</v>
      </c>
      <c r="G22" s="50"/>
    </row>
    <row r="23" spans="2:7" ht="33" customHeight="1" x14ac:dyDescent="0.35">
      <c r="B23" s="131" t="s">
        <v>30</v>
      </c>
      <c r="C23" s="132">
        <v>0</v>
      </c>
      <c r="D23" s="132">
        <v>1</v>
      </c>
      <c r="E23" s="132">
        <v>0</v>
      </c>
      <c r="F23" s="132">
        <v>1</v>
      </c>
      <c r="G23" s="55"/>
    </row>
  </sheetData>
  <hyperlinks>
    <hyperlink ref="A1" location="Navigation!A1" display="Home" xr:uid="{00000000-0004-0000-1E00-000000000000}"/>
    <hyperlink ref="H1" location="Recommendations!A1" display="Recommendations" xr:uid="{00000000-0004-0000-1E00-000001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23"/>
  <sheetViews>
    <sheetView zoomScale="80" zoomScaleNormal="80" workbookViewId="0">
      <pane xSplit="2" ySplit="1" topLeftCell="C2" activePane="bottomRight" state="frozen"/>
      <selection activeCell="B21" sqref="B21"/>
      <selection pane="topRight" activeCell="B21" sqref="B21"/>
      <selection pane="bottomLeft" activeCell="B21" sqref="B21"/>
      <selection pane="bottomRight" activeCell="G2" sqref="G2:G23"/>
    </sheetView>
  </sheetViews>
  <sheetFormatPr baseColWidth="10" defaultColWidth="11" defaultRowHeight="33" customHeight="1" x14ac:dyDescent="0.2"/>
  <cols>
    <col min="2" max="2" width="50.33203125" bestFit="1" customWidth="1"/>
    <col min="3" max="7" width="27" customWidth="1"/>
    <col min="8" max="8" width="25.6640625" customWidth="1"/>
  </cols>
  <sheetData>
    <row r="1" spans="1:8" ht="33" customHeight="1" thickBot="1" x14ac:dyDescent="0.3">
      <c r="A1" s="82" t="s">
        <v>57</v>
      </c>
      <c r="B1" s="20" t="s">
        <v>17</v>
      </c>
      <c r="C1" s="13" t="s">
        <v>34</v>
      </c>
      <c r="D1" s="13" t="s">
        <v>35</v>
      </c>
      <c r="E1" s="13" t="s">
        <v>36</v>
      </c>
      <c r="F1" s="13" t="s">
        <v>37</v>
      </c>
      <c r="G1" s="13" t="s">
        <v>38</v>
      </c>
      <c r="H1" s="147" t="s">
        <v>82</v>
      </c>
    </row>
    <row r="2" spans="1:8" ht="33" customHeight="1" x14ac:dyDescent="0.35">
      <c r="B2" s="34" t="s">
        <v>18</v>
      </c>
      <c r="C2" s="51"/>
      <c r="D2" s="51"/>
      <c r="E2" s="51"/>
      <c r="F2" s="51"/>
      <c r="G2" s="45">
        <v>467</v>
      </c>
    </row>
    <row r="3" spans="1:8" ht="33" customHeight="1" x14ac:dyDescent="0.35">
      <c r="B3" s="115" t="s">
        <v>23</v>
      </c>
      <c r="C3" s="116"/>
      <c r="D3" s="116"/>
      <c r="E3" s="116"/>
      <c r="F3" s="116"/>
      <c r="G3" s="46">
        <v>390</v>
      </c>
    </row>
    <row r="4" spans="1:8" ht="33" customHeight="1" x14ac:dyDescent="0.35">
      <c r="B4" s="115" t="s">
        <v>24</v>
      </c>
      <c r="C4" s="116"/>
      <c r="D4" s="116"/>
      <c r="E4" s="116"/>
      <c r="F4" s="116"/>
      <c r="G4" s="46">
        <v>4</v>
      </c>
    </row>
    <row r="5" spans="1:8" ht="33" customHeight="1" thickBot="1" x14ac:dyDescent="0.4">
      <c r="B5" s="117" t="s">
        <v>25</v>
      </c>
      <c r="C5" s="118"/>
      <c r="D5" s="118"/>
      <c r="E5" s="118"/>
      <c r="F5" s="118"/>
      <c r="G5" s="47">
        <v>73</v>
      </c>
    </row>
    <row r="6" spans="1:8" ht="33" customHeight="1" x14ac:dyDescent="0.35">
      <c r="B6" s="34" t="s">
        <v>50</v>
      </c>
      <c r="C6" s="51"/>
      <c r="D6" s="51"/>
      <c r="E6" s="51"/>
      <c r="F6" s="51"/>
      <c r="G6" s="45">
        <v>471</v>
      </c>
    </row>
    <row r="7" spans="1:8" ht="33" customHeight="1" x14ac:dyDescent="0.35">
      <c r="B7" s="115" t="s">
        <v>19</v>
      </c>
      <c r="C7" s="119"/>
      <c r="D7" s="119"/>
      <c r="E7" s="119"/>
      <c r="F7" s="119"/>
      <c r="G7" s="48">
        <v>463</v>
      </c>
    </row>
    <row r="8" spans="1:8" ht="33" customHeight="1" thickBot="1" x14ac:dyDescent="0.4">
      <c r="B8" s="115" t="s">
        <v>64</v>
      </c>
      <c r="C8" s="120"/>
      <c r="D8" s="120"/>
      <c r="E8" s="120"/>
      <c r="F8" s="120"/>
      <c r="G8" s="49">
        <v>8</v>
      </c>
    </row>
    <row r="9" spans="1:8" ht="33" customHeight="1" x14ac:dyDescent="0.35">
      <c r="B9" s="34" t="s">
        <v>22</v>
      </c>
      <c r="C9" s="51"/>
      <c r="D9" s="51"/>
      <c r="E9" s="51"/>
      <c r="F9" s="51"/>
      <c r="G9" s="45">
        <v>6</v>
      </c>
    </row>
    <row r="10" spans="1:8" ht="33" customHeight="1" x14ac:dyDescent="0.35">
      <c r="B10" s="115" t="s">
        <v>26</v>
      </c>
      <c r="C10" s="116"/>
      <c r="D10" s="116"/>
      <c r="E10" s="116"/>
      <c r="F10" s="116"/>
      <c r="G10" s="46">
        <v>3</v>
      </c>
    </row>
    <row r="11" spans="1:8" ht="33" customHeight="1" thickBot="1" x14ac:dyDescent="0.4">
      <c r="B11" s="121" t="s">
        <v>27</v>
      </c>
      <c r="C11" s="122"/>
      <c r="D11" s="122"/>
      <c r="E11" s="122"/>
      <c r="F11" s="122"/>
      <c r="G11" s="50">
        <v>3</v>
      </c>
    </row>
    <row r="12" spans="1:8" ht="33" customHeight="1" thickBot="1" x14ac:dyDescent="0.4">
      <c r="B12" s="123" t="s">
        <v>21</v>
      </c>
      <c r="C12" s="124"/>
      <c r="D12" s="124"/>
      <c r="E12" s="124"/>
      <c r="F12" s="124"/>
      <c r="G12" s="105">
        <v>465</v>
      </c>
    </row>
    <row r="13" spans="1:8" ht="33" customHeight="1" x14ac:dyDescent="0.35">
      <c r="B13" s="106" t="s">
        <v>31</v>
      </c>
      <c r="C13" s="125"/>
      <c r="D13" s="125"/>
      <c r="E13" s="125"/>
      <c r="F13" s="125"/>
      <c r="G13" s="108">
        <v>456</v>
      </c>
    </row>
    <row r="14" spans="1:8" ht="33" customHeight="1" x14ac:dyDescent="0.35">
      <c r="B14" s="115" t="s">
        <v>32</v>
      </c>
      <c r="C14" s="116"/>
      <c r="D14" s="116"/>
      <c r="E14" s="116"/>
      <c r="F14" s="116"/>
      <c r="G14" s="109">
        <v>9</v>
      </c>
    </row>
    <row r="15" spans="1:8" ht="33" customHeight="1" thickBot="1" x14ac:dyDescent="0.4">
      <c r="B15" s="121" t="s">
        <v>65</v>
      </c>
      <c r="C15" s="122"/>
      <c r="D15" s="122"/>
      <c r="E15" s="122"/>
      <c r="F15" s="122"/>
      <c r="G15" s="110"/>
    </row>
    <row r="16" spans="1:8" ht="33" customHeight="1" x14ac:dyDescent="0.35">
      <c r="B16" s="126" t="s">
        <v>66</v>
      </c>
      <c r="C16" s="116"/>
      <c r="D16" s="116"/>
      <c r="E16" s="116"/>
      <c r="F16" s="116"/>
      <c r="G16" s="103">
        <v>420</v>
      </c>
    </row>
    <row r="17" spans="2:7" ht="33" customHeight="1" x14ac:dyDescent="0.35">
      <c r="B17" s="127" t="s">
        <v>67</v>
      </c>
      <c r="C17" s="116"/>
      <c r="D17" s="116"/>
      <c r="E17" s="116"/>
      <c r="F17" s="116"/>
      <c r="G17" s="99">
        <v>45</v>
      </c>
    </row>
    <row r="18" spans="2:7" ht="33" customHeight="1" x14ac:dyDescent="0.35">
      <c r="B18" s="126" t="s">
        <v>68</v>
      </c>
      <c r="C18" s="116"/>
      <c r="D18" s="116"/>
      <c r="E18" s="116"/>
      <c r="F18" s="116"/>
      <c r="G18" s="99"/>
    </row>
    <row r="19" spans="2:7" ht="33" customHeight="1" thickBot="1" x14ac:dyDescent="0.4">
      <c r="B19" s="128" t="s">
        <v>72</v>
      </c>
      <c r="C19" s="122"/>
      <c r="D19" s="122"/>
      <c r="E19" s="122"/>
      <c r="F19" s="122"/>
      <c r="G19" s="101"/>
    </row>
    <row r="20" spans="2:7" ht="33" customHeight="1" x14ac:dyDescent="0.35">
      <c r="B20" s="129" t="s">
        <v>33</v>
      </c>
      <c r="C20" s="130"/>
      <c r="D20" s="130"/>
      <c r="E20" s="130"/>
      <c r="F20" s="130"/>
      <c r="G20" s="53">
        <v>1</v>
      </c>
    </row>
    <row r="21" spans="2:7" ht="33" customHeight="1" x14ac:dyDescent="0.35">
      <c r="B21" s="115" t="s">
        <v>70</v>
      </c>
      <c r="C21" s="116"/>
      <c r="D21" s="116"/>
      <c r="E21" s="116"/>
      <c r="F21" s="116"/>
      <c r="G21" s="46">
        <v>1</v>
      </c>
    </row>
    <row r="22" spans="2:7" ht="33" customHeight="1" thickBot="1" x14ac:dyDescent="0.4">
      <c r="B22" s="121" t="s">
        <v>71</v>
      </c>
      <c r="C22" s="122"/>
      <c r="D22" s="122"/>
      <c r="E22" s="122"/>
      <c r="F22" s="122"/>
      <c r="G22" s="50"/>
    </row>
    <row r="23" spans="2:7" ht="33" customHeight="1" x14ac:dyDescent="0.35">
      <c r="B23" s="131" t="s">
        <v>30</v>
      </c>
      <c r="C23" s="132"/>
      <c r="D23" s="132"/>
      <c r="E23" s="132"/>
      <c r="F23" s="132"/>
      <c r="G23" s="55">
        <v>2</v>
      </c>
    </row>
  </sheetData>
  <hyperlinks>
    <hyperlink ref="A1" location="Navigation!A1" display="Home" xr:uid="{00000000-0004-0000-1F00-000000000000}"/>
    <hyperlink ref="H1" location="Recommendations!A1" display="Recommendations" xr:uid="{00000000-0004-0000-1F00-000001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23"/>
  <sheetViews>
    <sheetView zoomScale="80" zoomScaleNormal="80" workbookViewId="0">
      <pane xSplit="2" ySplit="1" topLeftCell="C14" activePane="bottomRight" state="frozen"/>
      <selection activeCell="B21" sqref="B21"/>
      <selection pane="topRight" activeCell="B21" sqref="B21"/>
      <selection pane="bottomLeft" activeCell="B21" sqref="B21"/>
      <selection pane="bottomRight" activeCell="G22" sqref="G22"/>
    </sheetView>
  </sheetViews>
  <sheetFormatPr baseColWidth="10" defaultColWidth="11" defaultRowHeight="33" customHeight="1" x14ac:dyDescent="0.2"/>
  <cols>
    <col min="2" max="2" width="50.33203125" bestFit="1" customWidth="1"/>
    <col min="3" max="7" width="27" customWidth="1"/>
    <col min="8" max="8" width="26.83203125" customWidth="1"/>
  </cols>
  <sheetData>
    <row r="1" spans="1:8" ht="33" customHeight="1" thickBot="1" x14ac:dyDescent="0.3">
      <c r="A1" s="82" t="s">
        <v>57</v>
      </c>
      <c r="B1" s="20" t="s">
        <v>17</v>
      </c>
      <c r="C1" s="13" t="s">
        <v>34</v>
      </c>
      <c r="D1" s="13" t="s">
        <v>35</v>
      </c>
      <c r="E1" s="13" t="s">
        <v>36</v>
      </c>
      <c r="F1" s="13" t="s">
        <v>37</v>
      </c>
      <c r="G1" s="13" t="s">
        <v>38</v>
      </c>
      <c r="H1" s="147" t="s">
        <v>82</v>
      </c>
    </row>
    <row r="2" spans="1:8" ht="33" customHeight="1" x14ac:dyDescent="0.35">
      <c r="B2" s="34" t="s">
        <v>18</v>
      </c>
      <c r="C2" s="51"/>
      <c r="D2" s="51"/>
      <c r="E2" s="51"/>
      <c r="F2" s="51"/>
      <c r="G2" s="45">
        <v>398</v>
      </c>
    </row>
    <row r="3" spans="1:8" ht="33" customHeight="1" x14ac:dyDescent="0.35">
      <c r="B3" s="115" t="s">
        <v>23</v>
      </c>
      <c r="C3" s="116"/>
      <c r="D3" s="116"/>
      <c r="E3" s="116"/>
      <c r="F3" s="116"/>
      <c r="G3" s="46">
        <v>339</v>
      </c>
    </row>
    <row r="4" spans="1:8" ht="33" customHeight="1" x14ac:dyDescent="0.35">
      <c r="B4" s="115" t="s">
        <v>24</v>
      </c>
      <c r="C4" s="116"/>
      <c r="D4" s="116"/>
      <c r="E4" s="116"/>
      <c r="F4" s="116"/>
      <c r="G4" s="46">
        <v>3</v>
      </c>
    </row>
    <row r="5" spans="1:8" ht="33" customHeight="1" thickBot="1" x14ac:dyDescent="0.4">
      <c r="B5" s="117" t="s">
        <v>25</v>
      </c>
      <c r="C5" s="118"/>
      <c r="D5" s="118"/>
      <c r="E5" s="118"/>
      <c r="F5" s="118"/>
      <c r="G5" s="47">
        <v>56</v>
      </c>
    </row>
    <row r="6" spans="1:8" ht="33" customHeight="1" x14ac:dyDescent="0.35">
      <c r="B6" s="34" t="s">
        <v>50</v>
      </c>
      <c r="C6" s="51"/>
      <c r="D6" s="51"/>
      <c r="E6" s="51"/>
      <c r="F6" s="51"/>
      <c r="G6" s="45">
        <v>404</v>
      </c>
    </row>
    <row r="7" spans="1:8" ht="33" customHeight="1" x14ac:dyDescent="0.35">
      <c r="B7" s="115" t="s">
        <v>19</v>
      </c>
      <c r="C7" s="119"/>
      <c r="D7" s="119"/>
      <c r="E7" s="119"/>
      <c r="F7" s="119"/>
      <c r="G7" s="48">
        <v>394</v>
      </c>
    </row>
    <row r="8" spans="1:8" ht="33" customHeight="1" thickBot="1" x14ac:dyDescent="0.4">
      <c r="B8" s="115" t="s">
        <v>64</v>
      </c>
      <c r="C8" s="120"/>
      <c r="D8" s="120"/>
      <c r="E8" s="120"/>
      <c r="F8" s="120"/>
      <c r="G8" s="49">
        <v>10</v>
      </c>
    </row>
    <row r="9" spans="1:8" ht="33" customHeight="1" x14ac:dyDescent="0.35">
      <c r="B9" s="34" t="s">
        <v>22</v>
      </c>
      <c r="C9" s="51"/>
      <c r="D9" s="51"/>
      <c r="E9" s="51"/>
      <c r="F9" s="51"/>
      <c r="G9" s="45">
        <v>6</v>
      </c>
    </row>
    <row r="10" spans="1:8" ht="33" customHeight="1" x14ac:dyDescent="0.35">
      <c r="B10" s="115" t="s">
        <v>26</v>
      </c>
      <c r="C10" s="116"/>
      <c r="D10" s="116"/>
      <c r="E10" s="116"/>
      <c r="F10" s="116"/>
      <c r="G10" s="46">
        <v>2</v>
      </c>
    </row>
    <row r="11" spans="1:8" ht="33" customHeight="1" thickBot="1" x14ac:dyDescent="0.4">
      <c r="B11" s="121" t="s">
        <v>27</v>
      </c>
      <c r="C11" s="122"/>
      <c r="D11" s="122"/>
      <c r="E11" s="122"/>
      <c r="F11" s="122"/>
      <c r="G11" s="50">
        <v>4</v>
      </c>
    </row>
    <row r="12" spans="1:8" ht="33" customHeight="1" thickBot="1" x14ac:dyDescent="0.4">
      <c r="B12" s="123" t="s">
        <v>21</v>
      </c>
      <c r="C12" s="124"/>
      <c r="D12" s="124"/>
      <c r="E12" s="124"/>
      <c r="F12" s="124"/>
      <c r="G12" s="105">
        <v>381</v>
      </c>
    </row>
    <row r="13" spans="1:8" ht="33" customHeight="1" x14ac:dyDescent="0.35">
      <c r="B13" s="106" t="s">
        <v>31</v>
      </c>
      <c r="C13" s="125"/>
      <c r="D13" s="125"/>
      <c r="E13" s="125"/>
      <c r="F13" s="125"/>
      <c r="G13" s="108">
        <v>364</v>
      </c>
    </row>
    <row r="14" spans="1:8" ht="33" customHeight="1" x14ac:dyDescent="0.35">
      <c r="B14" s="115" t="s">
        <v>32</v>
      </c>
      <c r="C14" s="116"/>
      <c r="D14" s="116"/>
      <c r="E14" s="116"/>
      <c r="F14" s="116"/>
      <c r="G14" s="109">
        <v>17</v>
      </c>
    </row>
    <row r="15" spans="1:8" ht="33" customHeight="1" thickBot="1" x14ac:dyDescent="0.4">
      <c r="B15" s="121" t="s">
        <v>65</v>
      </c>
      <c r="C15" s="122"/>
      <c r="D15" s="122"/>
      <c r="E15" s="122"/>
      <c r="F15" s="122"/>
      <c r="G15" s="110"/>
    </row>
    <row r="16" spans="1:8" ht="33" customHeight="1" x14ac:dyDescent="0.35">
      <c r="B16" s="126" t="s">
        <v>66</v>
      </c>
      <c r="C16" s="116"/>
      <c r="D16" s="116"/>
      <c r="E16" s="116"/>
      <c r="F16" s="116"/>
      <c r="G16" s="103">
        <v>362</v>
      </c>
    </row>
    <row r="17" spans="2:7" ht="33" customHeight="1" x14ac:dyDescent="0.35">
      <c r="B17" s="127" t="s">
        <v>67</v>
      </c>
      <c r="C17" s="116"/>
      <c r="D17" s="116"/>
      <c r="E17" s="116"/>
      <c r="F17" s="116"/>
      <c r="G17" s="99">
        <v>19</v>
      </c>
    </row>
    <row r="18" spans="2:7" ht="33" customHeight="1" x14ac:dyDescent="0.35">
      <c r="B18" s="126" t="s">
        <v>68</v>
      </c>
      <c r="C18" s="116"/>
      <c r="D18" s="116"/>
      <c r="E18" s="116"/>
      <c r="F18" s="116"/>
      <c r="G18" s="99"/>
    </row>
    <row r="19" spans="2:7" ht="33" customHeight="1" thickBot="1" x14ac:dyDescent="0.4">
      <c r="B19" s="128" t="s">
        <v>72</v>
      </c>
      <c r="C19" s="122"/>
      <c r="D19" s="122"/>
      <c r="E19" s="122"/>
      <c r="F19" s="122"/>
      <c r="G19" s="101"/>
    </row>
    <row r="20" spans="2:7" ht="33" customHeight="1" x14ac:dyDescent="0.35">
      <c r="B20" s="129" t="s">
        <v>33</v>
      </c>
      <c r="C20" s="130"/>
      <c r="D20" s="130"/>
      <c r="E20" s="130"/>
      <c r="F20" s="130"/>
      <c r="G20" s="53">
        <v>12</v>
      </c>
    </row>
    <row r="21" spans="2:7" ht="33" customHeight="1" x14ac:dyDescent="0.35">
      <c r="B21" s="115" t="s">
        <v>70</v>
      </c>
      <c r="C21" s="116"/>
      <c r="D21" s="116"/>
      <c r="E21" s="116"/>
      <c r="F21" s="116"/>
      <c r="G21" s="46">
        <v>10</v>
      </c>
    </row>
    <row r="22" spans="2:7" ht="33" customHeight="1" thickBot="1" x14ac:dyDescent="0.4">
      <c r="B22" s="121" t="s">
        <v>71</v>
      </c>
      <c r="C22" s="122"/>
      <c r="D22" s="122"/>
      <c r="E22" s="122"/>
      <c r="F22" s="122"/>
      <c r="G22" s="50">
        <v>2</v>
      </c>
    </row>
    <row r="23" spans="2:7" ht="33" customHeight="1" x14ac:dyDescent="0.35">
      <c r="B23" s="131" t="s">
        <v>30</v>
      </c>
      <c r="C23" s="132"/>
      <c r="D23" s="132"/>
      <c r="E23" s="132"/>
      <c r="F23" s="132"/>
      <c r="G23" s="55">
        <v>1</v>
      </c>
    </row>
  </sheetData>
  <hyperlinks>
    <hyperlink ref="A1" location="Navigation!A1" display="Home" xr:uid="{00000000-0004-0000-2000-000000000000}"/>
    <hyperlink ref="H1" location="Recommendations!A1" display="Recommendations" xr:uid="{00000000-0004-0000-2000-000001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23"/>
  <sheetViews>
    <sheetView zoomScale="80" zoomScaleNormal="80" workbookViewId="0">
      <pane xSplit="2" ySplit="1" topLeftCell="C2" activePane="bottomRight" state="frozen"/>
      <selection activeCell="B21" sqref="B21"/>
      <selection pane="topRight" activeCell="B21" sqref="B21"/>
      <selection pane="bottomLeft" activeCell="B21" sqref="B21"/>
      <selection pane="bottomRight" activeCell="G6" sqref="G6"/>
    </sheetView>
  </sheetViews>
  <sheetFormatPr baseColWidth="10" defaultColWidth="11" defaultRowHeight="33" customHeight="1" x14ac:dyDescent="0.2"/>
  <cols>
    <col min="2" max="2" width="50.33203125" bestFit="1" customWidth="1"/>
    <col min="3" max="7" width="27" customWidth="1"/>
    <col min="8" max="8" width="24.83203125" customWidth="1"/>
  </cols>
  <sheetData>
    <row r="1" spans="1:8" ht="33" customHeight="1" thickBot="1" x14ac:dyDescent="0.3">
      <c r="A1" s="82" t="s">
        <v>57</v>
      </c>
      <c r="B1" s="20" t="s">
        <v>17</v>
      </c>
      <c r="C1" s="13" t="s">
        <v>34</v>
      </c>
      <c r="D1" s="13" t="s">
        <v>35</v>
      </c>
      <c r="E1" s="13" t="s">
        <v>36</v>
      </c>
      <c r="F1" s="13" t="s">
        <v>37</v>
      </c>
      <c r="G1" s="13" t="s">
        <v>38</v>
      </c>
      <c r="H1" s="147" t="s">
        <v>82</v>
      </c>
    </row>
    <row r="2" spans="1:8" ht="33" customHeight="1" x14ac:dyDescent="0.35">
      <c r="B2" s="34" t="s">
        <v>18</v>
      </c>
      <c r="C2" s="51"/>
      <c r="D2" s="51"/>
      <c r="E2" s="51"/>
      <c r="F2" s="51"/>
      <c r="G2" s="45">
        <v>383</v>
      </c>
    </row>
    <row r="3" spans="1:8" ht="33" customHeight="1" x14ac:dyDescent="0.35">
      <c r="B3" s="115" t="s">
        <v>23</v>
      </c>
      <c r="C3" s="116"/>
      <c r="D3" s="116"/>
      <c r="E3" s="116"/>
      <c r="F3" s="116"/>
      <c r="G3" s="46">
        <v>310</v>
      </c>
    </row>
    <row r="4" spans="1:8" ht="33" customHeight="1" x14ac:dyDescent="0.35">
      <c r="B4" s="115" t="s">
        <v>24</v>
      </c>
      <c r="C4" s="116"/>
      <c r="D4" s="116"/>
      <c r="E4" s="116"/>
      <c r="F4" s="116"/>
      <c r="G4" s="46">
        <v>5</v>
      </c>
    </row>
    <row r="5" spans="1:8" ht="33" customHeight="1" thickBot="1" x14ac:dyDescent="0.4">
      <c r="B5" s="117" t="s">
        <v>25</v>
      </c>
      <c r="C5" s="118"/>
      <c r="D5" s="118"/>
      <c r="E5" s="118"/>
      <c r="F5" s="118"/>
      <c r="G5" s="47">
        <v>68</v>
      </c>
    </row>
    <row r="6" spans="1:8" ht="33" customHeight="1" x14ac:dyDescent="0.35">
      <c r="B6" s="34" t="s">
        <v>50</v>
      </c>
      <c r="C6" s="51"/>
      <c r="D6" s="51"/>
      <c r="E6" s="51"/>
      <c r="F6" s="51"/>
      <c r="G6" s="45">
        <v>388</v>
      </c>
    </row>
    <row r="7" spans="1:8" ht="33" customHeight="1" x14ac:dyDescent="0.35">
      <c r="B7" s="115" t="s">
        <v>19</v>
      </c>
      <c r="C7" s="119"/>
      <c r="D7" s="119"/>
      <c r="E7" s="119"/>
      <c r="F7" s="119"/>
      <c r="G7" s="48">
        <v>378</v>
      </c>
    </row>
    <row r="8" spans="1:8" ht="33" customHeight="1" thickBot="1" x14ac:dyDescent="0.4">
      <c r="B8" s="115" t="s">
        <v>64</v>
      </c>
      <c r="C8" s="120"/>
      <c r="D8" s="120"/>
      <c r="E8" s="120"/>
      <c r="F8" s="120"/>
      <c r="G8" s="49">
        <v>10</v>
      </c>
    </row>
    <row r="9" spans="1:8" ht="33" customHeight="1" x14ac:dyDescent="0.35">
      <c r="B9" s="34" t="s">
        <v>22</v>
      </c>
      <c r="C9" s="51"/>
      <c r="D9" s="51"/>
      <c r="E9" s="51"/>
      <c r="F9" s="51"/>
      <c r="G9" s="45">
        <v>10</v>
      </c>
    </row>
    <row r="10" spans="1:8" ht="33" customHeight="1" x14ac:dyDescent="0.35">
      <c r="B10" s="115" t="s">
        <v>26</v>
      </c>
      <c r="C10" s="116"/>
      <c r="D10" s="116"/>
      <c r="E10" s="116"/>
      <c r="F10" s="116"/>
      <c r="G10" s="46">
        <v>6</v>
      </c>
    </row>
    <row r="11" spans="1:8" ht="33" customHeight="1" thickBot="1" x14ac:dyDescent="0.4">
      <c r="B11" s="121" t="s">
        <v>27</v>
      </c>
      <c r="C11" s="122"/>
      <c r="D11" s="122"/>
      <c r="E11" s="122"/>
      <c r="F11" s="122"/>
      <c r="G11" s="50">
        <v>4</v>
      </c>
    </row>
    <row r="12" spans="1:8" ht="33" customHeight="1" thickBot="1" x14ac:dyDescent="0.4">
      <c r="B12" s="123" t="s">
        <v>21</v>
      </c>
      <c r="C12" s="124"/>
      <c r="D12" s="124"/>
      <c r="E12" s="124"/>
      <c r="F12" s="124"/>
      <c r="G12" s="105">
        <v>378</v>
      </c>
    </row>
    <row r="13" spans="1:8" ht="33" customHeight="1" x14ac:dyDescent="0.35">
      <c r="B13" s="106" t="s">
        <v>31</v>
      </c>
      <c r="C13" s="125"/>
      <c r="D13" s="125"/>
      <c r="E13" s="125"/>
      <c r="F13" s="125"/>
      <c r="G13" s="108">
        <v>362</v>
      </c>
    </row>
    <row r="14" spans="1:8" ht="33" customHeight="1" x14ac:dyDescent="0.35">
      <c r="B14" s="115" t="s">
        <v>32</v>
      </c>
      <c r="C14" s="116"/>
      <c r="D14" s="116"/>
      <c r="E14" s="116"/>
      <c r="F14" s="116"/>
      <c r="G14" s="109">
        <v>16</v>
      </c>
    </row>
    <row r="15" spans="1:8" ht="33" customHeight="1" thickBot="1" x14ac:dyDescent="0.4">
      <c r="B15" s="121" t="s">
        <v>65</v>
      </c>
      <c r="C15" s="122"/>
      <c r="D15" s="122"/>
      <c r="E15" s="122"/>
      <c r="F15" s="122"/>
      <c r="G15" s="110"/>
    </row>
    <row r="16" spans="1:8" ht="33" customHeight="1" x14ac:dyDescent="0.35">
      <c r="B16" s="126" t="s">
        <v>66</v>
      </c>
      <c r="C16" s="116"/>
      <c r="D16" s="116"/>
      <c r="E16" s="116"/>
      <c r="F16" s="116"/>
      <c r="G16" s="103">
        <v>326</v>
      </c>
    </row>
    <row r="17" spans="2:7" ht="33" customHeight="1" x14ac:dyDescent="0.35">
      <c r="B17" s="127" t="s">
        <v>67</v>
      </c>
      <c r="C17" s="116"/>
      <c r="D17" s="116"/>
      <c r="E17" s="116"/>
      <c r="F17" s="116"/>
      <c r="G17" s="99">
        <v>52</v>
      </c>
    </row>
    <row r="18" spans="2:7" ht="33" customHeight="1" x14ac:dyDescent="0.35">
      <c r="B18" s="126" t="s">
        <v>68</v>
      </c>
      <c r="C18" s="116"/>
      <c r="D18" s="116"/>
      <c r="E18" s="116"/>
      <c r="F18" s="116"/>
      <c r="G18" s="99"/>
    </row>
    <row r="19" spans="2:7" ht="33" customHeight="1" thickBot="1" x14ac:dyDescent="0.4">
      <c r="B19" s="128" t="s">
        <v>72</v>
      </c>
      <c r="C19" s="122"/>
      <c r="D19" s="122"/>
      <c r="E19" s="122"/>
      <c r="F19" s="122"/>
      <c r="G19" s="101"/>
    </row>
    <row r="20" spans="2:7" ht="33" customHeight="1" x14ac:dyDescent="0.35">
      <c r="B20" s="129" t="s">
        <v>33</v>
      </c>
      <c r="C20" s="130"/>
      <c r="D20" s="130"/>
      <c r="E20" s="130"/>
      <c r="F20" s="130"/>
      <c r="G20" s="53">
        <v>4</v>
      </c>
    </row>
    <row r="21" spans="2:7" ht="33" customHeight="1" x14ac:dyDescent="0.35">
      <c r="B21" s="115" t="s">
        <v>70</v>
      </c>
      <c r="C21" s="116"/>
      <c r="D21" s="116"/>
      <c r="E21" s="116"/>
      <c r="F21" s="116"/>
      <c r="G21" s="46">
        <v>3</v>
      </c>
    </row>
    <row r="22" spans="2:7" ht="33" customHeight="1" thickBot="1" x14ac:dyDescent="0.4">
      <c r="B22" s="121" t="s">
        <v>71</v>
      </c>
      <c r="C22" s="122"/>
      <c r="D22" s="122"/>
      <c r="E22" s="122"/>
      <c r="F22" s="122"/>
      <c r="G22" s="50">
        <v>1</v>
      </c>
    </row>
    <row r="23" spans="2:7" ht="33" customHeight="1" x14ac:dyDescent="0.35">
      <c r="B23" s="131" t="s">
        <v>30</v>
      </c>
      <c r="C23" s="132"/>
      <c r="D23" s="132"/>
      <c r="E23" s="132"/>
      <c r="F23" s="132"/>
      <c r="G23" s="55">
        <v>0</v>
      </c>
    </row>
  </sheetData>
  <hyperlinks>
    <hyperlink ref="A1" location="Navigation!A1" display="Home" xr:uid="{00000000-0004-0000-2100-000000000000}"/>
    <hyperlink ref="H1" location="Recommendations!A1" display="Recommendations" xr:uid="{00000000-0004-0000-2100-000001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23"/>
  <sheetViews>
    <sheetView zoomScale="80" zoomScaleNormal="80" workbookViewId="0">
      <pane xSplit="2" ySplit="1" topLeftCell="D2" activePane="bottomRight" state="frozen"/>
      <selection activeCell="B21" sqref="B21"/>
      <selection pane="topRight" activeCell="B21" sqref="B21"/>
      <selection pane="bottomLeft" activeCell="B21" sqref="B21"/>
      <selection pane="bottomRight" activeCell="G23" sqref="G23"/>
    </sheetView>
  </sheetViews>
  <sheetFormatPr baseColWidth="10" defaultColWidth="11" defaultRowHeight="33" customHeight="1" x14ac:dyDescent="0.2"/>
  <cols>
    <col min="2" max="2" width="50.33203125" bestFit="1" customWidth="1"/>
    <col min="3" max="7" width="27" customWidth="1"/>
    <col min="8" max="8" width="26.6640625" customWidth="1"/>
  </cols>
  <sheetData>
    <row r="1" spans="1:8" ht="33" customHeight="1" thickBot="1" x14ac:dyDescent="0.3">
      <c r="A1" s="82" t="s">
        <v>57</v>
      </c>
      <c r="B1" s="20" t="s">
        <v>17</v>
      </c>
      <c r="C1" s="13" t="s">
        <v>34</v>
      </c>
      <c r="D1" s="13" t="s">
        <v>35</v>
      </c>
      <c r="E1" s="13" t="s">
        <v>36</v>
      </c>
      <c r="F1" s="13" t="s">
        <v>37</v>
      </c>
      <c r="G1" s="13" t="s">
        <v>52</v>
      </c>
      <c r="H1" s="147" t="s">
        <v>82</v>
      </c>
    </row>
    <row r="2" spans="1:8" ht="33" customHeight="1" x14ac:dyDescent="0.35">
      <c r="B2" s="34" t="s">
        <v>18</v>
      </c>
      <c r="C2" s="51"/>
      <c r="D2" s="51"/>
      <c r="E2" s="51"/>
      <c r="F2" s="51"/>
      <c r="G2" s="45">
        <v>413</v>
      </c>
    </row>
    <row r="3" spans="1:8" ht="33" customHeight="1" x14ac:dyDescent="0.35">
      <c r="B3" s="115" t="s">
        <v>23</v>
      </c>
      <c r="C3" s="116"/>
      <c r="D3" s="116"/>
      <c r="E3" s="116"/>
      <c r="F3" s="116"/>
      <c r="G3" s="46">
        <v>339</v>
      </c>
    </row>
    <row r="4" spans="1:8" ht="33" customHeight="1" x14ac:dyDescent="0.35">
      <c r="B4" s="115" t="s">
        <v>24</v>
      </c>
      <c r="C4" s="116"/>
      <c r="D4" s="116"/>
      <c r="E4" s="116"/>
      <c r="F4" s="116"/>
      <c r="G4" s="46">
        <v>0</v>
      </c>
    </row>
    <row r="5" spans="1:8" ht="33" customHeight="1" thickBot="1" x14ac:dyDescent="0.4">
      <c r="B5" s="117" t="s">
        <v>25</v>
      </c>
      <c r="C5" s="118"/>
      <c r="D5" s="118"/>
      <c r="E5" s="118"/>
      <c r="F5" s="118"/>
      <c r="G5" s="47">
        <v>74</v>
      </c>
    </row>
    <row r="6" spans="1:8" ht="33" customHeight="1" x14ac:dyDescent="0.35">
      <c r="B6" s="34" t="s">
        <v>50</v>
      </c>
      <c r="C6" s="51"/>
      <c r="D6" s="51"/>
      <c r="E6" s="51"/>
      <c r="F6" s="51"/>
      <c r="G6" s="45">
        <v>432</v>
      </c>
    </row>
    <row r="7" spans="1:8" ht="33" customHeight="1" x14ac:dyDescent="0.35">
      <c r="B7" s="115" t="s">
        <v>19</v>
      </c>
      <c r="C7" s="119"/>
      <c r="D7" s="119"/>
      <c r="E7" s="119"/>
      <c r="F7" s="119"/>
      <c r="G7" s="48">
        <v>413</v>
      </c>
    </row>
    <row r="8" spans="1:8" ht="33" customHeight="1" thickBot="1" x14ac:dyDescent="0.4">
      <c r="B8" s="115" t="s">
        <v>64</v>
      </c>
      <c r="C8" s="120"/>
      <c r="D8" s="120"/>
      <c r="E8" s="120"/>
      <c r="F8" s="120"/>
      <c r="G8" s="49">
        <v>19</v>
      </c>
    </row>
    <row r="9" spans="1:8" ht="33" customHeight="1" x14ac:dyDescent="0.35">
      <c r="B9" s="34" t="s">
        <v>22</v>
      </c>
      <c r="C9" s="51"/>
      <c r="D9" s="51"/>
      <c r="E9" s="51"/>
      <c r="F9" s="51"/>
      <c r="G9" s="45">
        <v>11</v>
      </c>
    </row>
    <row r="10" spans="1:8" ht="33" customHeight="1" x14ac:dyDescent="0.35">
      <c r="B10" s="115" t="s">
        <v>26</v>
      </c>
      <c r="C10" s="116"/>
      <c r="D10" s="116"/>
      <c r="E10" s="116"/>
      <c r="F10" s="116"/>
      <c r="G10" s="46">
        <v>5</v>
      </c>
    </row>
    <row r="11" spans="1:8" ht="33" customHeight="1" thickBot="1" x14ac:dyDescent="0.4">
      <c r="B11" s="121" t="s">
        <v>27</v>
      </c>
      <c r="C11" s="122"/>
      <c r="D11" s="122"/>
      <c r="E11" s="122"/>
      <c r="F11" s="122"/>
      <c r="G11" s="50">
        <v>6</v>
      </c>
    </row>
    <row r="12" spans="1:8" ht="33" customHeight="1" thickBot="1" x14ac:dyDescent="0.4">
      <c r="B12" s="123" t="s">
        <v>21</v>
      </c>
      <c r="C12" s="124"/>
      <c r="D12" s="124"/>
      <c r="E12" s="124"/>
      <c r="F12" s="124"/>
      <c r="G12" s="105">
        <v>421</v>
      </c>
    </row>
    <row r="13" spans="1:8" ht="33" customHeight="1" x14ac:dyDescent="0.35">
      <c r="B13" s="106" t="s">
        <v>31</v>
      </c>
      <c r="C13" s="125"/>
      <c r="D13" s="125"/>
      <c r="E13" s="125"/>
      <c r="F13" s="125"/>
      <c r="G13" s="108">
        <v>407</v>
      </c>
    </row>
    <row r="14" spans="1:8" ht="33" customHeight="1" x14ac:dyDescent="0.35">
      <c r="B14" s="115" t="s">
        <v>32</v>
      </c>
      <c r="C14" s="116"/>
      <c r="D14" s="116"/>
      <c r="E14" s="116"/>
      <c r="F14" s="116"/>
      <c r="G14" s="109">
        <v>14</v>
      </c>
    </row>
    <row r="15" spans="1:8" ht="33" customHeight="1" thickBot="1" x14ac:dyDescent="0.4">
      <c r="B15" s="121" t="s">
        <v>65</v>
      </c>
      <c r="C15" s="122"/>
      <c r="D15" s="122"/>
      <c r="E15" s="122"/>
      <c r="F15" s="122"/>
      <c r="G15" s="110"/>
    </row>
    <row r="16" spans="1:8" ht="33" customHeight="1" x14ac:dyDescent="0.35">
      <c r="B16" s="126" t="s">
        <v>66</v>
      </c>
      <c r="C16" s="116"/>
      <c r="D16" s="116"/>
      <c r="E16" s="116"/>
      <c r="F16" s="116"/>
      <c r="G16" s="103">
        <v>379</v>
      </c>
    </row>
    <row r="17" spans="2:7" ht="33" customHeight="1" x14ac:dyDescent="0.35">
      <c r="B17" s="127" t="s">
        <v>67</v>
      </c>
      <c r="C17" s="116"/>
      <c r="D17" s="116"/>
      <c r="E17" s="116"/>
      <c r="F17" s="116"/>
      <c r="G17" s="99">
        <v>42</v>
      </c>
    </row>
    <row r="18" spans="2:7" ht="33" customHeight="1" x14ac:dyDescent="0.35">
      <c r="B18" s="126" t="s">
        <v>68</v>
      </c>
      <c r="C18" s="116"/>
      <c r="D18" s="116"/>
      <c r="E18" s="116"/>
      <c r="F18" s="116"/>
      <c r="G18" s="99"/>
    </row>
    <row r="19" spans="2:7" ht="33" customHeight="1" thickBot="1" x14ac:dyDescent="0.4">
      <c r="B19" s="128" t="s">
        <v>72</v>
      </c>
      <c r="C19" s="122"/>
      <c r="D19" s="122"/>
      <c r="E19" s="122"/>
      <c r="F19" s="122"/>
      <c r="G19" s="101"/>
    </row>
    <row r="20" spans="2:7" ht="33" customHeight="1" x14ac:dyDescent="0.35">
      <c r="B20" s="129" t="s">
        <v>33</v>
      </c>
      <c r="C20" s="130"/>
      <c r="D20" s="130"/>
      <c r="E20" s="130"/>
      <c r="F20" s="130"/>
      <c r="G20" s="53">
        <v>9</v>
      </c>
    </row>
    <row r="21" spans="2:7" ht="33" customHeight="1" x14ac:dyDescent="0.35">
      <c r="B21" s="115" t="s">
        <v>70</v>
      </c>
      <c r="C21" s="116"/>
      <c r="D21" s="116"/>
      <c r="E21" s="116"/>
      <c r="F21" s="116"/>
      <c r="G21" s="46">
        <v>7</v>
      </c>
    </row>
    <row r="22" spans="2:7" ht="33" customHeight="1" thickBot="1" x14ac:dyDescent="0.4">
      <c r="B22" s="121" t="s">
        <v>71</v>
      </c>
      <c r="C22" s="122"/>
      <c r="D22" s="122"/>
      <c r="E22" s="122"/>
      <c r="F22" s="122"/>
      <c r="G22" s="50">
        <v>2</v>
      </c>
    </row>
    <row r="23" spans="2:7" ht="33" customHeight="1" x14ac:dyDescent="0.35">
      <c r="B23" s="131" t="s">
        <v>30</v>
      </c>
      <c r="C23" s="132"/>
      <c r="D23" s="132"/>
      <c r="E23" s="132"/>
      <c r="F23" s="132"/>
      <c r="G23" s="55">
        <v>1</v>
      </c>
    </row>
  </sheetData>
  <hyperlinks>
    <hyperlink ref="A1" location="Navigation!A1" display="Home" xr:uid="{00000000-0004-0000-2200-000000000000}"/>
    <hyperlink ref="H1" location="Recommendations!A1" display="Recommendations" xr:uid="{00000000-0004-0000-22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35</vt:i4>
      </vt:variant>
      <vt:variant>
        <vt:lpstr>Named Ranges</vt:lpstr>
      </vt:variant>
      <vt:variant>
        <vt:i4>3</vt:i4>
      </vt:variant>
    </vt:vector>
  </HeadingPairs>
  <TitlesOfParts>
    <vt:vector size="38" baseType="lpstr">
      <vt:lpstr>Welcome</vt:lpstr>
      <vt:lpstr>Navigation</vt:lpstr>
      <vt:lpstr>Recommendations</vt:lpstr>
      <vt:lpstr>Annual log</vt:lpstr>
      <vt:lpstr>Indicators</vt:lpstr>
      <vt:lpstr>Perinatal Deaths</vt:lpstr>
      <vt:lpstr>Neonatal deaths</vt:lpstr>
      <vt:lpstr>Stillbirths</vt:lpstr>
      <vt:lpstr>Preterm&amp;LBW</vt:lpstr>
      <vt:lpstr>Delivery Stats</vt:lpstr>
      <vt:lpstr>Maternal Deaths</vt:lpstr>
      <vt:lpstr>Jan20</vt:lpstr>
      <vt:lpstr>Feb20</vt:lpstr>
      <vt:lpstr>Mar20</vt:lpstr>
      <vt:lpstr>Apr20</vt:lpstr>
      <vt:lpstr>May20</vt:lpstr>
      <vt:lpstr>Jun20</vt:lpstr>
      <vt:lpstr>Jul20</vt:lpstr>
      <vt:lpstr>Aug20</vt:lpstr>
      <vt:lpstr>Sep20</vt:lpstr>
      <vt:lpstr>Oct20</vt:lpstr>
      <vt:lpstr>Nov20</vt:lpstr>
      <vt:lpstr>Dec20</vt:lpstr>
      <vt:lpstr>Jan</vt:lpstr>
      <vt:lpstr>Feb</vt:lpstr>
      <vt:lpstr>Mar</vt:lpstr>
      <vt:lpstr>Apr</vt:lpstr>
      <vt:lpstr>May</vt:lpstr>
      <vt:lpstr>Jun</vt:lpstr>
      <vt:lpstr>Jul</vt:lpstr>
      <vt:lpstr>Aug</vt:lpstr>
      <vt:lpstr>Sep</vt:lpstr>
      <vt:lpstr>Oct</vt:lpstr>
      <vt:lpstr>Nov</vt:lpstr>
      <vt:lpstr>Dec</vt:lpstr>
      <vt:lpstr>Home</vt:lpstr>
      <vt:lpstr>Navigation_A1</vt:lpstr>
      <vt:lpstr>START</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Lexxxy Manu</dc:creator>
  <cp:lastModifiedBy>Lexxxy Manu</cp:lastModifiedBy>
  <cp:lastPrinted>2020-06-19T07:24:26Z</cp:lastPrinted>
  <dcterms:created xsi:type="dcterms:W3CDTF">2019-04-08T17:14:05Z</dcterms:created>
  <dcterms:modified xsi:type="dcterms:W3CDTF">2020-09-17T23:23:02Z</dcterms:modified>
</cp:coreProperties>
</file>